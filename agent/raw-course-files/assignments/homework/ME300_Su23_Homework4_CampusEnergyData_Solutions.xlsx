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jxo22_psu_edu/Documents/Box Migration Data/Classes/ME300 - Summer 2023/Homework/"/>
    </mc:Choice>
  </mc:AlternateContent>
  <xr:revisionPtr revIDLastSave="28" documentId="8_{F58DD0AF-8D2F-4D59-BF0B-A0FD4F13BEDC}" xr6:coauthVersionLast="47" xr6:coauthVersionMax="47" xr10:uidLastSave="{5FE77A83-852A-446E-881E-28C5E6A8CAA0}"/>
  <bookViews>
    <workbookView xWindow="-120" yWindow="-120" windowWidth="29040" windowHeight="1584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L3" i="1"/>
  <c r="K4" i="1"/>
  <c r="L4" i="1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K29" i="1"/>
  <c r="L29" i="1"/>
  <c r="K30" i="1"/>
  <c r="L30" i="1"/>
  <c r="K31" i="1"/>
  <c r="L31" i="1"/>
  <c r="K32" i="1"/>
  <c r="L32" i="1"/>
  <c r="K33" i="1"/>
  <c r="L33" i="1"/>
  <c r="K34" i="1"/>
  <c r="L34" i="1"/>
  <c r="K35" i="1"/>
  <c r="L35" i="1"/>
  <c r="K36" i="1"/>
  <c r="L36" i="1"/>
  <c r="K37" i="1"/>
  <c r="L37" i="1"/>
  <c r="K38" i="1"/>
  <c r="L38" i="1"/>
  <c r="K39" i="1"/>
  <c r="L39" i="1"/>
  <c r="K40" i="1"/>
  <c r="L40" i="1"/>
  <c r="K41" i="1"/>
  <c r="L41" i="1"/>
  <c r="K42" i="1"/>
  <c r="L42" i="1"/>
  <c r="K43" i="1"/>
  <c r="L43" i="1"/>
  <c r="K44" i="1"/>
  <c r="L44" i="1"/>
  <c r="K45" i="1"/>
  <c r="L45" i="1"/>
  <c r="K46" i="1"/>
  <c r="L46" i="1"/>
  <c r="K47" i="1"/>
  <c r="L47" i="1"/>
  <c r="K48" i="1"/>
  <c r="L48" i="1"/>
  <c r="K49" i="1"/>
  <c r="L49" i="1"/>
  <c r="K50" i="1"/>
  <c r="L50" i="1"/>
  <c r="K51" i="1"/>
  <c r="L51" i="1"/>
  <c r="K52" i="1"/>
  <c r="L52" i="1"/>
  <c r="K53" i="1"/>
  <c r="L53" i="1"/>
  <c r="K54" i="1"/>
  <c r="L54" i="1"/>
  <c r="K55" i="1"/>
  <c r="L55" i="1"/>
  <c r="K56" i="1"/>
  <c r="L56" i="1"/>
  <c r="K57" i="1"/>
  <c r="L57" i="1"/>
  <c r="K58" i="1"/>
  <c r="L58" i="1"/>
  <c r="K59" i="1"/>
  <c r="L59" i="1"/>
  <c r="K60" i="1"/>
  <c r="L60" i="1"/>
  <c r="K61" i="1"/>
  <c r="L61" i="1"/>
  <c r="K62" i="1"/>
  <c r="L62" i="1"/>
  <c r="K63" i="1"/>
  <c r="L63" i="1"/>
  <c r="K64" i="1"/>
  <c r="L64" i="1"/>
  <c r="K65" i="1"/>
  <c r="L65" i="1"/>
  <c r="K66" i="1"/>
  <c r="L66" i="1"/>
  <c r="K67" i="1"/>
  <c r="L67" i="1"/>
  <c r="K68" i="1"/>
  <c r="L68" i="1"/>
  <c r="K69" i="1"/>
  <c r="L69" i="1"/>
  <c r="K70" i="1"/>
  <c r="L70" i="1"/>
  <c r="K71" i="1"/>
  <c r="L71" i="1"/>
  <c r="K72" i="1"/>
  <c r="L72" i="1"/>
  <c r="K73" i="1"/>
  <c r="L73" i="1"/>
  <c r="K74" i="1"/>
  <c r="L74" i="1"/>
  <c r="K75" i="1"/>
  <c r="L75" i="1"/>
  <c r="K76" i="1"/>
  <c r="L76" i="1"/>
  <c r="K77" i="1"/>
  <c r="L77" i="1"/>
  <c r="K78" i="1"/>
  <c r="L78" i="1"/>
  <c r="K79" i="1"/>
  <c r="L79" i="1"/>
  <c r="K80" i="1"/>
  <c r="L80" i="1"/>
  <c r="K81" i="1"/>
  <c r="L81" i="1"/>
  <c r="K82" i="1"/>
  <c r="L82" i="1"/>
  <c r="K83" i="1"/>
  <c r="L83" i="1"/>
  <c r="K84" i="1"/>
  <c r="L84" i="1"/>
  <c r="K85" i="1"/>
  <c r="L85" i="1"/>
  <c r="K86" i="1"/>
  <c r="L86" i="1"/>
  <c r="K87" i="1"/>
  <c r="L87" i="1"/>
  <c r="K88" i="1"/>
  <c r="L88" i="1"/>
  <c r="K89" i="1"/>
  <c r="L89" i="1"/>
  <c r="K90" i="1"/>
  <c r="L90" i="1"/>
  <c r="K91" i="1"/>
  <c r="L91" i="1"/>
  <c r="K92" i="1"/>
  <c r="L92" i="1"/>
  <c r="K93" i="1"/>
  <c r="L93" i="1"/>
  <c r="K94" i="1"/>
  <c r="L94" i="1"/>
  <c r="K95" i="1"/>
  <c r="L95" i="1"/>
  <c r="K96" i="1"/>
  <c r="L96" i="1"/>
  <c r="K97" i="1"/>
  <c r="L97" i="1"/>
  <c r="K98" i="1"/>
  <c r="L98" i="1"/>
  <c r="K99" i="1"/>
  <c r="L99" i="1"/>
  <c r="K100" i="1"/>
  <c r="L100" i="1"/>
  <c r="K101" i="1"/>
  <c r="L101" i="1"/>
  <c r="K102" i="1"/>
  <c r="L102" i="1"/>
  <c r="K103" i="1"/>
  <c r="L103" i="1"/>
  <c r="K104" i="1"/>
  <c r="L104" i="1"/>
  <c r="K105" i="1"/>
  <c r="L105" i="1"/>
  <c r="K106" i="1"/>
  <c r="L106" i="1"/>
  <c r="K107" i="1"/>
  <c r="L107" i="1"/>
  <c r="K108" i="1"/>
  <c r="L108" i="1"/>
  <c r="K109" i="1"/>
  <c r="L109" i="1"/>
  <c r="K110" i="1"/>
  <c r="L110" i="1"/>
  <c r="K111" i="1"/>
  <c r="L111" i="1"/>
  <c r="K112" i="1"/>
  <c r="L112" i="1"/>
  <c r="K113" i="1"/>
  <c r="L113" i="1"/>
  <c r="K114" i="1"/>
  <c r="L114" i="1"/>
  <c r="K115" i="1"/>
  <c r="L115" i="1"/>
  <c r="K116" i="1"/>
  <c r="L116" i="1"/>
  <c r="K117" i="1"/>
  <c r="L117" i="1"/>
  <c r="K118" i="1"/>
  <c r="L118" i="1"/>
  <c r="K119" i="1"/>
  <c r="L119" i="1"/>
  <c r="K120" i="1"/>
  <c r="L120" i="1"/>
  <c r="K121" i="1"/>
  <c r="L121" i="1"/>
  <c r="L2" i="1"/>
  <c r="K2" i="1"/>
  <c r="I3" i="1"/>
  <c r="J3" i="1"/>
  <c r="I4" i="1"/>
  <c r="J4" i="1"/>
  <c r="I5" i="1"/>
  <c r="J5" i="1"/>
  <c r="I6" i="1"/>
  <c r="J6" i="1"/>
  <c r="I7" i="1"/>
  <c r="J7" i="1"/>
  <c r="I8" i="1"/>
  <c r="J8" i="1"/>
  <c r="I9" i="1"/>
  <c r="J9" i="1"/>
  <c r="I10" i="1"/>
  <c r="J10" i="1"/>
  <c r="I11" i="1"/>
  <c r="J11" i="1"/>
  <c r="I12" i="1"/>
  <c r="J12" i="1"/>
  <c r="I13" i="1"/>
  <c r="J13" i="1"/>
  <c r="I14" i="1"/>
  <c r="J14" i="1"/>
  <c r="I15" i="1"/>
  <c r="J15" i="1"/>
  <c r="I16" i="1"/>
  <c r="J16" i="1"/>
  <c r="I17" i="1"/>
  <c r="J17" i="1"/>
  <c r="I18" i="1"/>
  <c r="J18" i="1"/>
  <c r="I19" i="1"/>
  <c r="J19" i="1"/>
  <c r="I20" i="1"/>
  <c r="J20" i="1"/>
  <c r="I21" i="1"/>
  <c r="J21" i="1"/>
  <c r="I22" i="1"/>
  <c r="J22" i="1"/>
  <c r="I23" i="1"/>
  <c r="J23" i="1"/>
  <c r="I24" i="1"/>
  <c r="J24" i="1"/>
  <c r="I25" i="1"/>
  <c r="J25" i="1"/>
  <c r="I26" i="1"/>
  <c r="J26" i="1"/>
  <c r="I27" i="1"/>
  <c r="J27" i="1"/>
  <c r="I28" i="1"/>
  <c r="J28" i="1"/>
  <c r="I29" i="1"/>
  <c r="J29" i="1"/>
  <c r="I30" i="1"/>
  <c r="J30" i="1"/>
  <c r="I31" i="1"/>
  <c r="J31" i="1"/>
  <c r="I32" i="1"/>
  <c r="J32" i="1"/>
  <c r="I33" i="1"/>
  <c r="J33" i="1"/>
  <c r="I34" i="1"/>
  <c r="J34" i="1"/>
  <c r="I35" i="1"/>
  <c r="J35" i="1"/>
  <c r="I36" i="1"/>
  <c r="J36" i="1"/>
  <c r="I37" i="1"/>
  <c r="J37" i="1"/>
  <c r="I38" i="1"/>
  <c r="J38" i="1"/>
  <c r="I39" i="1"/>
  <c r="J39" i="1"/>
  <c r="I40" i="1"/>
  <c r="J40" i="1"/>
  <c r="I41" i="1"/>
  <c r="J41" i="1"/>
  <c r="I42" i="1"/>
  <c r="J42" i="1"/>
  <c r="I43" i="1"/>
  <c r="J43" i="1"/>
  <c r="I44" i="1"/>
  <c r="J44" i="1"/>
  <c r="I45" i="1"/>
  <c r="J45" i="1"/>
  <c r="I46" i="1"/>
  <c r="J46" i="1"/>
  <c r="I47" i="1"/>
  <c r="J47" i="1"/>
  <c r="I48" i="1"/>
  <c r="J48" i="1"/>
  <c r="I49" i="1"/>
  <c r="J49" i="1"/>
  <c r="I50" i="1"/>
  <c r="J50" i="1"/>
  <c r="I51" i="1"/>
  <c r="J51" i="1"/>
  <c r="I52" i="1"/>
  <c r="J52" i="1"/>
  <c r="I53" i="1"/>
  <c r="J53" i="1"/>
  <c r="I54" i="1"/>
  <c r="J54" i="1"/>
  <c r="I55" i="1"/>
  <c r="J55" i="1"/>
  <c r="I56" i="1"/>
  <c r="J56" i="1"/>
  <c r="I57" i="1"/>
  <c r="J57" i="1"/>
  <c r="I58" i="1"/>
  <c r="J58" i="1"/>
  <c r="I59" i="1"/>
  <c r="J59" i="1"/>
  <c r="I60" i="1"/>
  <c r="J60" i="1"/>
  <c r="I61" i="1"/>
  <c r="J61" i="1"/>
  <c r="I62" i="1"/>
  <c r="J62" i="1"/>
  <c r="I63" i="1"/>
  <c r="J63" i="1"/>
  <c r="I64" i="1"/>
  <c r="J64" i="1"/>
  <c r="I65" i="1"/>
  <c r="J65" i="1"/>
  <c r="I66" i="1"/>
  <c r="J66" i="1"/>
  <c r="I67" i="1"/>
  <c r="J67" i="1"/>
  <c r="I68" i="1"/>
  <c r="J68" i="1"/>
  <c r="I69" i="1"/>
  <c r="J69" i="1"/>
  <c r="I70" i="1"/>
  <c r="J70" i="1"/>
  <c r="I71" i="1"/>
  <c r="J71" i="1"/>
  <c r="I72" i="1"/>
  <c r="J72" i="1"/>
  <c r="I73" i="1"/>
  <c r="J73" i="1"/>
  <c r="I74" i="1"/>
  <c r="J74" i="1"/>
  <c r="I75" i="1"/>
  <c r="J75" i="1"/>
  <c r="I76" i="1"/>
  <c r="J76" i="1"/>
  <c r="I77" i="1"/>
  <c r="J77" i="1"/>
  <c r="I78" i="1"/>
  <c r="J78" i="1"/>
  <c r="I79" i="1"/>
  <c r="J79" i="1"/>
  <c r="I80" i="1"/>
  <c r="J80" i="1"/>
  <c r="I81" i="1"/>
  <c r="J81" i="1"/>
  <c r="I82" i="1"/>
  <c r="J82" i="1"/>
  <c r="I83" i="1"/>
  <c r="J83" i="1"/>
  <c r="I84" i="1"/>
  <c r="J84" i="1"/>
  <c r="I85" i="1"/>
  <c r="J85" i="1"/>
  <c r="I86" i="1"/>
  <c r="J86" i="1"/>
  <c r="I87" i="1"/>
  <c r="J87" i="1"/>
  <c r="I88" i="1"/>
  <c r="J88" i="1"/>
  <c r="I89" i="1"/>
  <c r="J89" i="1"/>
  <c r="I90" i="1"/>
  <c r="J90" i="1"/>
  <c r="I91" i="1"/>
  <c r="J91" i="1"/>
  <c r="I92" i="1"/>
  <c r="J92" i="1"/>
  <c r="I93" i="1"/>
  <c r="J93" i="1"/>
  <c r="I94" i="1"/>
  <c r="J94" i="1"/>
  <c r="I95" i="1"/>
  <c r="J95" i="1"/>
  <c r="I96" i="1"/>
  <c r="J96" i="1"/>
  <c r="I97" i="1"/>
  <c r="J97" i="1"/>
  <c r="I98" i="1"/>
  <c r="J98" i="1"/>
  <c r="I99" i="1"/>
  <c r="J99" i="1"/>
  <c r="I100" i="1"/>
  <c r="J100" i="1"/>
  <c r="I101" i="1"/>
  <c r="J101" i="1"/>
  <c r="I102" i="1"/>
  <c r="J102" i="1"/>
  <c r="I103" i="1"/>
  <c r="J103" i="1"/>
  <c r="I104" i="1"/>
  <c r="J104" i="1"/>
  <c r="I105" i="1"/>
  <c r="J105" i="1"/>
  <c r="I106" i="1"/>
  <c r="J106" i="1"/>
  <c r="I107" i="1"/>
  <c r="J107" i="1"/>
  <c r="I108" i="1"/>
  <c r="J108" i="1"/>
  <c r="I109" i="1"/>
  <c r="J109" i="1"/>
  <c r="I110" i="1"/>
  <c r="J110" i="1"/>
  <c r="I111" i="1"/>
  <c r="J111" i="1"/>
  <c r="I112" i="1"/>
  <c r="J112" i="1"/>
  <c r="I113" i="1"/>
  <c r="J113" i="1"/>
  <c r="I114" i="1"/>
  <c r="J114" i="1"/>
  <c r="I115" i="1"/>
  <c r="J115" i="1"/>
  <c r="I116" i="1"/>
  <c r="J116" i="1"/>
  <c r="I117" i="1"/>
  <c r="J117" i="1"/>
  <c r="I118" i="1"/>
  <c r="J118" i="1"/>
  <c r="I119" i="1"/>
  <c r="J119" i="1"/>
  <c r="I120" i="1"/>
  <c r="J120" i="1"/>
  <c r="I121" i="1"/>
  <c r="J121" i="1"/>
  <c r="J2" i="1"/>
  <c r="I2" i="1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G98" i="1"/>
  <c r="H98" i="1"/>
  <c r="G99" i="1"/>
  <c r="H99" i="1"/>
  <c r="G100" i="1"/>
  <c r="H100" i="1"/>
  <c r="G101" i="1"/>
  <c r="H101" i="1"/>
  <c r="G102" i="1"/>
  <c r="H102" i="1"/>
  <c r="G103" i="1"/>
  <c r="H103" i="1"/>
  <c r="G104" i="1"/>
  <c r="H104" i="1"/>
  <c r="G105" i="1"/>
  <c r="H105" i="1"/>
  <c r="G106" i="1"/>
  <c r="H106" i="1"/>
  <c r="G107" i="1"/>
  <c r="H107" i="1"/>
  <c r="G108" i="1"/>
  <c r="H108" i="1"/>
  <c r="G109" i="1"/>
  <c r="H109" i="1"/>
  <c r="G110" i="1"/>
  <c r="H110" i="1"/>
  <c r="G111" i="1"/>
  <c r="H111" i="1"/>
  <c r="G112" i="1"/>
  <c r="H112" i="1"/>
  <c r="G113" i="1"/>
  <c r="H113" i="1"/>
  <c r="G114" i="1"/>
  <c r="H114" i="1"/>
  <c r="G115" i="1"/>
  <c r="H115" i="1"/>
  <c r="G116" i="1"/>
  <c r="H116" i="1"/>
  <c r="G117" i="1"/>
  <c r="H117" i="1"/>
  <c r="G118" i="1"/>
  <c r="H118" i="1"/>
  <c r="G119" i="1"/>
  <c r="H119" i="1"/>
  <c r="G120" i="1"/>
  <c r="H120" i="1"/>
  <c r="G121" i="1"/>
  <c r="H121" i="1"/>
  <c r="H2" i="1"/>
  <c r="G2" i="1"/>
</calcChain>
</file>

<file path=xl/sharedStrings.xml><?xml version="1.0" encoding="utf-8"?>
<sst xmlns="http://schemas.openxmlformats.org/spreadsheetml/2006/main" count="12" uniqueCount="12">
  <si>
    <t>Timestamp</t>
  </si>
  <si>
    <t>HR</t>
  </si>
  <si>
    <t>T1 [deg F]</t>
  </si>
  <si>
    <t>T2 [deg F]</t>
  </si>
  <si>
    <t>P1 [psi]</t>
  </si>
  <si>
    <t>P2 [psi]</t>
  </si>
  <si>
    <t>T1 [K]</t>
  </si>
  <si>
    <t>T2 [K]</t>
  </si>
  <si>
    <t>P1 [Pa]</t>
  </si>
  <si>
    <t>P2 [Pa]</t>
  </si>
  <si>
    <t>rho1 [kg/m3]</t>
  </si>
  <si>
    <t>rho2 [kg/m3]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</si>
</sst>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#,##0.00;[Red]\-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6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Inlet Density as a Function of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Day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Data!$B$2:$B$25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Data!$K$2:$K$25</c:f>
              <c:numCache>
                <c:formatCode>General</c:formatCode>
                <c:ptCount val="24"/>
                <c:pt idx="0">
                  <c:v>1.1735698428604526</c:v>
                </c:pt>
                <c:pt idx="1">
                  <c:v>1.174500806412438</c:v>
                </c:pt>
                <c:pt idx="2">
                  <c:v>1.1792878890241325</c:v>
                </c:pt>
                <c:pt idx="3">
                  <c:v>1.1836556733446599</c:v>
                </c:pt>
                <c:pt idx="4">
                  <c:v>1.1857162734804909</c:v>
                </c:pt>
                <c:pt idx="5">
                  <c:v>1.1884573653912445</c:v>
                </c:pt>
                <c:pt idx="6">
                  <c:v>1.1923300782049668</c:v>
                </c:pt>
                <c:pt idx="7">
                  <c:v>1.1947114990883352</c:v>
                </c:pt>
                <c:pt idx="8">
                  <c:v>1.1900252364264845</c:v>
                </c:pt>
                <c:pt idx="9">
                  <c:v>1.1836363870078876</c:v>
                </c:pt>
                <c:pt idx="10">
                  <c:v>1.1736873282485314</c:v>
                </c:pt>
                <c:pt idx="11">
                  <c:v>1.165236269698791</c:v>
                </c:pt>
                <c:pt idx="12">
                  <c:v>1.1577882941778828</c:v>
                </c:pt>
                <c:pt idx="13">
                  <c:v>1.15038672650982</c:v>
                </c:pt>
                <c:pt idx="14">
                  <c:v>1.1453020884194496</c:v>
                </c:pt>
                <c:pt idx="15">
                  <c:v>1.1431500297496071</c:v>
                </c:pt>
                <c:pt idx="16">
                  <c:v>1.1390803598895525</c:v>
                </c:pt>
                <c:pt idx="17">
                  <c:v>1.1409102333810794</c:v>
                </c:pt>
                <c:pt idx="18">
                  <c:v>1.144023822856552</c:v>
                </c:pt>
                <c:pt idx="19">
                  <c:v>1.1430287208762639</c:v>
                </c:pt>
                <c:pt idx="20">
                  <c:v>1.1472458295043353</c:v>
                </c:pt>
                <c:pt idx="21">
                  <c:v>1.1534751306314877</c:v>
                </c:pt>
                <c:pt idx="22">
                  <c:v>1.1615167535366266</c:v>
                </c:pt>
                <c:pt idx="23">
                  <c:v>1.1733969080294389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21-4D53-80F5-716DB82FB971}"/>
            </c:ext>
          </c:extLst>
        </c:ser>
        <c:ser>
          <c:idx val="1"/>
          <c:order val="1"/>
          <c:tx>
            <c:v>Day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Data!$B$26:$B$49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Data!$K$26:$K$49</c:f>
              <c:numCache>
                <c:formatCode>General</c:formatCode>
                <c:ptCount val="24"/>
                <c:pt idx="0">
                  <c:v>1.1788632493928008</c:v>
                </c:pt>
                <c:pt idx="1">
                  <c:v>1.1804804764295256</c:v>
                </c:pt>
                <c:pt idx="2">
                  <c:v>1.1835884715874403</c:v>
                </c:pt>
                <c:pt idx="3">
                  <c:v>1.1878522833545542</c:v>
                </c:pt>
                <c:pt idx="4">
                  <c:v>1.1903466359587516</c:v>
                </c:pt>
                <c:pt idx="5">
                  <c:v>1.1924124890002505</c:v>
                </c:pt>
                <c:pt idx="6">
                  <c:v>1.1953102453517681</c:v>
                </c:pt>
                <c:pt idx="7">
                  <c:v>1.1964409632345816</c:v>
                </c:pt>
                <c:pt idx="8">
                  <c:v>1.1931007704848129</c:v>
                </c:pt>
                <c:pt idx="9">
                  <c:v>1.1839446519050691</c:v>
                </c:pt>
                <c:pt idx="10">
                  <c:v>1.1751835415722183</c:v>
                </c:pt>
                <c:pt idx="11">
                  <c:v>1.1692190811680783</c:v>
                </c:pt>
                <c:pt idx="12">
                  <c:v>1.1617362460579077</c:v>
                </c:pt>
                <c:pt idx="13">
                  <c:v>1.1560871959318388</c:v>
                </c:pt>
                <c:pt idx="14">
                  <c:v>1.1502039170899117</c:v>
                </c:pt>
                <c:pt idx="15">
                  <c:v>1.1507477725936415</c:v>
                </c:pt>
                <c:pt idx="16">
                  <c:v>1.1505282480513168</c:v>
                </c:pt>
                <c:pt idx="17">
                  <c:v>1.1507370066499267</c:v>
                </c:pt>
                <c:pt idx="18">
                  <c:v>1.1470207668774834</c:v>
                </c:pt>
                <c:pt idx="19">
                  <c:v>1.1465818236601175</c:v>
                </c:pt>
                <c:pt idx="20">
                  <c:v>1.1539193640224981</c:v>
                </c:pt>
                <c:pt idx="21">
                  <c:v>1.1588732762029865</c:v>
                </c:pt>
                <c:pt idx="22">
                  <c:v>1.1625180560826929</c:v>
                </c:pt>
                <c:pt idx="23">
                  <c:v>1.1646058890003905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021-4D53-80F5-716DB82FB971}"/>
            </c:ext>
          </c:extLst>
        </c:ser>
        <c:ser>
          <c:idx val="2"/>
          <c:order val="2"/>
          <c:tx>
            <c:v>Day 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Data!$B$50:$B$73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Data!$K$50:$K$73</c:f>
              <c:numCache>
                <c:formatCode>General</c:formatCode>
                <c:ptCount val="24"/>
                <c:pt idx="0">
                  <c:v>1.1682959615407609</c:v>
                </c:pt>
                <c:pt idx="1">
                  <c:v>1.1719747385318675</c:v>
                </c:pt>
                <c:pt idx="2">
                  <c:v>1.1755741893537106</c:v>
                </c:pt>
                <c:pt idx="3">
                  <c:v>1.1780588843013269</c:v>
                </c:pt>
                <c:pt idx="4">
                  <c:v>1.1826535686144073</c:v>
                </c:pt>
                <c:pt idx="5">
                  <c:v>1.1861096941315787</c:v>
                </c:pt>
                <c:pt idx="6">
                  <c:v>1.1903334453146228</c:v>
                </c:pt>
                <c:pt idx="7">
                  <c:v>1.1918925443204833</c:v>
                </c:pt>
                <c:pt idx="8">
                  <c:v>1.1909208966319702</c:v>
                </c:pt>
                <c:pt idx="9">
                  <c:v>1.1815886673509302</c:v>
                </c:pt>
                <c:pt idx="10">
                  <c:v>1.1711961457618185</c:v>
                </c:pt>
                <c:pt idx="11">
                  <c:v>1.1614292179673982</c:v>
                </c:pt>
                <c:pt idx="12">
                  <c:v>1.1520721803261464</c:v>
                </c:pt>
                <c:pt idx="13">
                  <c:v>1.1400605896249205</c:v>
                </c:pt>
                <c:pt idx="14">
                  <c:v>1.1356941950954147</c:v>
                </c:pt>
                <c:pt idx="15">
                  <c:v>1.1331866208428276</c:v>
                </c:pt>
                <c:pt idx="16">
                  <c:v>1.1318559431078343</c:v>
                </c:pt>
                <c:pt idx="17">
                  <c:v>1.1326607558635937</c:v>
                </c:pt>
                <c:pt idx="18">
                  <c:v>1.1337104338703166</c:v>
                </c:pt>
                <c:pt idx="19">
                  <c:v>1.1392040008110014</c:v>
                </c:pt>
                <c:pt idx="20">
                  <c:v>1.1529414612720286</c:v>
                </c:pt>
                <c:pt idx="21">
                  <c:v>1.1642874327331101</c:v>
                </c:pt>
                <c:pt idx="22">
                  <c:v>1.1743136008385826</c:v>
                </c:pt>
                <c:pt idx="23">
                  <c:v>1.1818978286629356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021-4D53-80F5-716DB82FB971}"/>
            </c:ext>
          </c:extLst>
        </c:ser>
        <c:ser>
          <c:idx val="3"/>
          <c:order val="3"/>
          <c:tx>
            <c:v>Day 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Data!$B$74:$B$97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Data!$K$74:$K$97</c:f>
              <c:numCache>
                <c:formatCode>General</c:formatCode>
                <c:ptCount val="24"/>
                <c:pt idx="0">
                  <c:v>1.1884478188465419</c:v>
                </c:pt>
                <c:pt idx="1">
                  <c:v>1.1937979587982468</c:v>
                </c:pt>
                <c:pt idx="2">
                  <c:v>1.1992109253610301</c:v>
                </c:pt>
                <c:pt idx="3">
                  <c:v>1.2028364800544715</c:v>
                </c:pt>
                <c:pt idx="4">
                  <c:v>1.207144642768728</c:v>
                </c:pt>
                <c:pt idx="5">
                  <c:v>1.2090719662088178</c:v>
                </c:pt>
                <c:pt idx="6">
                  <c:v>1.2115584660967453</c:v>
                </c:pt>
                <c:pt idx="7">
                  <c:v>1.2163122698737219</c:v>
                </c:pt>
                <c:pt idx="8">
                  <c:v>1.2165698071525295</c:v>
                </c:pt>
                <c:pt idx="9">
                  <c:v>1.2110791997355694</c:v>
                </c:pt>
                <c:pt idx="10">
                  <c:v>1.2035065809302168</c:v>
                </c:pt>
                <c:pt idx="11">
                  <c:v>1.1963158879435967</c:v>
                </c:pt>
                <c:pt idx="12">
                  <c:v>1.1882558254751838</c:v>
                </c:pt>
                <c:pt idx="13">
                  <c:v>1.180237101717964</c:v>
                </c:pt>
                <c:pt idx="14">
                  <c:v>1.1698977603905407</c:v>
                </c:pt>
                <c:pt idx="15">
                  <c:v>1.1621109160232459</c:v>
                </c:pt>
                <c:pt idx="16">
                  <c:v>1.1571249274807802</c:v>
                </c:pt>
                <c:pt idx="17">
                  <c:v>1.1558345982718359</c:v>
                </c:pt>
                <c:pt idx="18">
                  <c:v>1.1569765997632886</c:v>
                </c:pt>
                <c:pt idx="19">
                  <c:v>1.1612890555594946</c:v>
                </c:pt>
                <c:pt idx="20">
                  <c:v>1.1643198588732195</c:v>
                </c:pt>
                <c:pt idx="21">
                  <c:v>1.1695923534300796</c:v>
                </c:pt>
                <c:pt idx="22">
                  <c:v>1.1771879026803069</c:v>
                </c:pt>
                <c:pt idx="23">
                  <c:v>1.1872300561460953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021-4D53-80F5-716DB82FB971}"/>
            </c:ext>
          </c:extLst>
        </c:ser>
        <c:ser>
          <c:idx val="4"/>
          <c:order val="4"/>
          <c:tx>
            <c:v>Day 5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Data!$B$98:$B$121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Data!$K$98:$K$121</c:f>
              <c:numCache>
                <c:formatCode>General</c:formatCode>
                <c:ptCount val="24"/>
                <c:pt idx="0">
                  <c:v>1.1932859245286831</c:v>
                </c:pt>
                <c:pt idx="1">
                  <c:v>1.1981979499102502</c:v>
                </c:pt>
                <c:pt idx="2">
                  <c:v>1.2025190747125483</c:v>
                </c:pt>
                <c:pt idx="3">
                  <c:v>1.2068081713806491</c:v>
                </c:pt>
                <c:pt idx="4">
                  <c:v>1.209806923015881</c:v>
                </c:pt>
                <c:pt idx="5">
                  <c:v>1.2123909075317603</c:v>
                </c:pt>
                <c:pt idx="6">
                  <c:v>1.2206301438898384</c:v>
                </c:pt>
                <c:pt idx="7">
                  <c:v>1.2205752665958072</c:v>
                </c:pt>
                <c:pt idx="8">
                  <c:v>1.2130612575011346</c:v>
                </c:pt>
                <c:pt idx="9">
                  <c:v>1.2088021557305424</c:v>
                </c:pt>
                <c:pt idx="10">
                  <c:v>1.2019658054605755</c:v>
                </c:pt>
                <c:pt idx="11">
                  <c:v>1.1892667352960622</c:v>
                </c:pt>
                <c:pt idx="12">
                  <c:v>1.1762887094670298</c:v>
                </c:pt>
                <c:pt idx="13">
                  <c:v>1.1682570179313918</c:v>
                </c:pt>
                <c:pt idx="14">
                  <c:v>1.1645560794353422</c:v>
                </c:pt>
                <c:pt idx="15">
                  <c:v>1.1566292786170314</c:v>
                </c:pt>
                <c:pt idx="16">
                  <c:v>1.1519577825232237</c:v>
                </c:pt>
                <c:pt idx="17">
                  <c:v>1.1501624021785279</c:v>
                </c:pt>
                <c:pt idx="18">
                  <c:v>1.1505825964484477</c:v>
                </c:pt>
                <c:pt idx="19">
                  <c:v>1.1507804089704055</c:v>
                </c:pt>
                <c:pt idx="20">
                  <c:v>1.154378578028598</c:v>
                </c:pt>
                <c:pt idx="21">
                  <c:v>1.1617584311669005</c:v>
                </c:pt>
                <c:pt idx="22">
                  <c:v>1.1709777173203852</c:v>
                </c:pt>
                <c:pt idx="23">
                  <c:v>1.1800070449633469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021-4D53-80F5-716DB82FB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9305439"/>
        <c:axId val="2089307359"/>
      </c:scatterChart>
      <c:valAx>
        <c:axId val="2089305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[hr]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307359"/>
        <c:crosses val="autoZero"/>
        <c:crossBetween val="midCat"/>
      </c:valAx>
      <c:valAx>
        <c:axId val="208930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Density [kg/m3]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305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Outlet Density as a Function of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Day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Data!$B$2:$B$25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Data!$L$2:$L$25</c:f>
              <c:numCache>
                <c:formatCode>General</c:formatCode>
                <c:ptCount val="24"/>
                <c:pt idx="0">
                  <c:v>5.7988285281424323</c:v>
                </c:pt>
                <c:pt idx="1">
                  <c:v>5.7032657312427153</c:v>
                </c:pt>
                <c:pt idx="2">
                  <c:v>5.4590972107993929</c:v>
                </c:pt>
                <c:pt idx="3">
                  <c:v>5.4741853948565042</c:v>
                </c:pt>
                <c:pt idx="4">
                  <c:v>5.4454970050265548</c:v>
                </c:pt>
                <c:pt idx="5">
                  <c:v>5.5517463488758523</c:v>
                </c:pt>
                <c:pt idx="6">
                  <c:v>5.7455576853080519</c:v>
                </c:pt>
                <c:pt idx="7">
                  <c:v>5.9389201554373967</c:v>
                </c:pt>
                <c:pt idx="8">
                  <c:v>5.9732111537153649</c:v>
                </c:pt>
                <c:pt idx="9">
                  <c:v>5.920993807095698</c:v>
                </c:pt>
                <c:pt idx="10">
                  <c:v>5.8219573830352873</c:v>
                </c:pt>
                <c:pt idx="11">
                  <c:v>5.7505961598741955</c:v>
                </c:pt>
                <c:pt idx="12">
                  <c:v>5.6804774296925133</c:v>
                </c:pt>
                <c:pt idx="13">
                  <c:v>5.632651688232662</c:v>
                </c:pt>
                <c:pt idx="14">
                  <c:v>5.6107470583464458</c:v>
                </c:pt>
                <c:pt idx="15">
                  <c:v>5.5915395229910985</c:v>
                </c:pt>
                <c:pt idx="16">
                  <c:v>5.5571405140663197</c:v>
                </c:pt>
                <c:pt idx="17">
                  <c:v>5.5744994343130587</c:v>
                </c:pt>
                <c:pt idx="18">
                  <c:v>5.6051241502836699</c:v>
                </c:pt>
                <c:pt idx="19">
                  <c:v>5.594774525704171</c:v>
                </c:pt>
                <c:pt idx="20">
                  <c:v>5.6275585796324643</c:v>
                </c:pt>
                <c:pt idx="21">
                  <c:v>5.6804985703951498</c:v>
                </c:pt>
                <c:pt idx="22">
                  <c:v>5.7415354137849848</c:v>
                </c:pt>
                <c:pt idx="23">
                  <c:v>5.8224539751727766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446-4589-8E01-09607C2D3E8D}"/>
            </c:ext>
          </c:extLst>
        </c:ser>
        <c:ser>
          <c:idx val="1"/>
          <c:order val="1"/>
          <c:tx>
            <c:v>Day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Data!$B$26:$B$49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Data!$L$26:$L$49</c:f>
              <c:numCache>
                <c:formatCode>General</c:formatCode>
                <c:ptCount val="24"/>
                <c:pt idx="0">
                  <c:v>5.852016675303167</c:v>
                </c:pt>
                <c:pt idx="1">
                  <c:v>5.8403354497834687</c:v>
                </c:pt>
                <c:pt idx="2">
                  <c:v>5.8417973947979913</c:v>
                </c:pt>
                <c:pt idx="3">
                  <c:v>5.8100414479696445</c:v>
                </c:pt>
                <c:pt idx="4">
                  <c:v>5.801377632060845</c:v>
                </c:pt>
                <c:pt idx="5">
                  <c:v>5.8787434020267098</c:v>
                </c:pt>
                <c:pt idx="6">
                  <c:v>5.9832841811155575</c:v>
                </c:pt>
                <c:pt idx="7">
                  <c:v>6.0075451448099422</c:v>
                </c:pt>
                <c:pt idx="8">
                  <c:v>5.9817323479705387</c:v>
                </c:pt>
                <c:pt idx="9">
                  <c:v>5.9139607454072403</c:v>
                </c:pt>
                <c:pt idx="10">
                  <c:v>5.8434364251982354</c:v>
                </c:pt>
                <c:pt idx="11">
                  <c:v>5.7873363505469539</c:v>
                </c:pt>
                <c:pt idx="12">
                  <c:v>5.7107418136056189</c:v>
                </c:pt>
                <c:pt idx="13">
                  <c:v>5.6676851047985286</c:v>
                </c:pt>
                <c:pt idx="14">
                  <c:v>5.6187131932166992</c:v>
                </c:pt>
                <c:pt idx="15">
                  <c:v>5.6229314051856463</c:v>
                </c:pt>
                <c:pt idx="16">
                  <c:v>5.619789574881259</c:v>
                </c:pt>
                <c:pt idx="17">
                  <c:v>5.6255763992772385</c:v>
                </c:pt>
                <c:pt idx="18">
                  <c:v>5.6144106388037702</c:v>
                </c:pt>
                <c:pt idx="19">
                  <c:v>5.6294806167997447</c:v>
                </c:pt>
                <c:pt idx="20">
                  <c:v>5.6799451331804862</c:v>
                </c:pt>
                <c:pt idx="21">
                  <c:v>5.7289076807237374</c:v>
                </c:pt>
                <c:pt idx="22">
                  <c:v>5.7598274806074006</c:v>
                </c:pt>
                <c:pt idx="23">
                  <c:v>5.7839706754183151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446-4589-8E01-09607C2D3E8D}"/>
            </c:ext>
          </c:extLst>
        </c:ser>
        <c:ser>
          <c:idx val="2"/>
          <c:order val="2"/>
          <c:tx>
            <c:v>Day 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Data!$B$50:$B$73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Data!$L$50:$L$73</c:f>
              <c:numCache>
                <c:formatCode>General</c:formatCode>
                <c:ptCount val="24"/>
                <c:pt idx="0">
                  <c:v>5.8016087120493092</c:v>
                </c:pt>
                <c:pt idx="1">
                  <c:v>5.7725365959603918</c:v>
                </c:pt>
                <c:pt idx="2">
                  <c:v>5.7416470423286672</c:v>
                </c:pt>
                <c:pt idx="3">
                  <c:v>5.7734867745191707</c:v>
                </c:pt>
                <c:pt idx="4">
                  <c:v>5.7560030244014406</c:v>
                </c:pt>
                <c:pt idx="5">
                  <c:v>5.829909610083277</c:v>
                </c:pt>
                <c:pt idx="6">
                  <c:v>5.9629068247761312</c:v>
                </c:pt>
                <c:pt idx="7">
                  <c:v>5.9872744365726884</c:v>
                </c:pt>
                <c:pt idx="8">
                  <c:v>5.9755156327079488</c:v>
                </c:pt>
                <c:pt idx="9">
                  <c:v>5.9039162357571646</c:v>
                </c:pt>
                <c:pt idx="10">
                  <c:v>5.8150592626777424</c:v>
                </c:pt>
                <c:pt idx="11">
                  <c:v>5.7274907413364247</c:v>
                </c:pt>
                <c:pt idx="12">
                  <c:v>5.6446531801874196</c:v>
                </c:pt>
                <c:pt idx="13">
                  <c:v>5.5710475369128263</c:v>
                </c:pt>
                <c:pt idx="14">
                  <c:v>5.5416817464776038</c:v>
                </c:pt>
                <c:pt idx="15">
                  <c:v>5.5217929477175662</c:v>
                </c:pt>
                <c:pt idx="16">
                  <c:v>5.5076235939407603</c:v>
                </c:pt>
                <c:pt idx="17">
                  <c:v>5.5081985578027925</c:v>
                </c:pt>
                <c:pt idx="18">
                  <c:v>5.5145707359604792</c:v>
                </c:pt>
                <c:pt idx="19">
                  <c:v>5.567313989377018</c:v>
                </c:pt>
                <c:pt idx="20">
                  <c:v>5.6843274489296709</c:v>
                </c:pt>
                <c:pt idx="21">
                  <c:v>5.7877197317046445</c:v>
                </c:pt>
                <c:pt idx="22">
                  <c:v>5.8480029877918591</c:v>
                </c:pt>
                <c:pt idx="23">
                  <c:v>5.8782426638753646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446-4589-8E01-09607C2D3E8D}"/>
            </c:ext>
          </c:extLst>
        </c:ser>
        <c:ser>
          <c:idx val="3"/>
          <c:order val="3"/>
          <c:tx>
            <c:v>Day 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Data!$B$74:$B$97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Data!$L$74:$L$97</c:f>
              <c:numCache>
                <c:formatCode>General</c:formatCode>
                <c:ptCount val="24"/>
                <c:pt idx="0">
                  <c:v>5.6969638399271636</c:v>
                </c:pt>
                <c:pt idx="1">
                  <c:v>5.5959188653094101</c:v>
                </c:pt>
                <c:pt idx="2">
                  <c:v>5.4251068907747744</c:v>
                </c:pt>
                <c:pt idx="3">
                  <c:v>5.3951555211609357</c:v>
                </c:pt>
                <c:pt idx="4">
                  <c:v>5.333803581269871</c:v>
                </c:pt>
                <c:pt idx="5">
                  <c:v>5.3213390286999767</c:v>
                </c:pt>
                <c:pt idx="6">
                  <c:v>5.4679514030157641</c:v>
                </c:pt>
                <c:pt idx="7">
                  <c:v>5.5991747297868697</c:v>
                </c:pt>
                <c:pt idx="8">
                  <c:v>5.8454684756793869</c:v>
                </c:pt>
                <c:pt idx="9">
                  <c:v>6.0917132902605848</c:v>
                </c:pt>
                <c:pt idx="10">
                  <c:v>6.0549066820619641</c:v>
                </c:pt>
                <c:pt idx="11">
                  <c:v>5.998199474999419</c:v>
                </c:pt>
                <c:pt idx="12">
                  <c:v>5.9287554406678717</c:v>
                </c:pt>
                <c:pt idx="13">
                  <c:v>5.8676889149961582</c:v>
                </c:pt>
                <c:pt idx="14">
                  <c:v>5.8043435313082874</c:v>
                </c:pt>
                <c:pt idx="15">
                  <c:v>5.7443382438323054</c:v>
                </c:pt>
                <c:pt idx="16">
                  <c:v>5.700488812136161</c:v>
                </c:pt>
                <c:pt idx="17">
                  <c:v>5.6870810184476701</c:v>
                </c:pt>
                <c:pt idx="18">
                  <c:v>5.6892649663686639</c:v>
                </c:pt>
                <c:pt idx="19">
                  <c:v>5.7348061497246654</c:v>
                </c:pt>
                <c:pt idx="20">
                  <c:v>5.6728765666601131</c:v>
                </c:pt>
                <c:pt idx="21">
                  <c:v>5.6341408332162768</c:v>
                </c:pt>
                <c:pt idx="22">
                  <c:v>5.6797512535519861</c:v>
                </c:pt>
                <c:pt idx="23">
                  <c:v>5.7360129564598497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446-4589-8E01-09607C2D3E8D}"/>
            </c:ext>
          </c:extLst>
        </c:ser>
        <c:ser>
          <c:idx val="4"/>
          <c:order val="4"/>
          <c:tx>
            <c:v>Day 5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Data!$B$98:$B$121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Data!$L$98:$L$121</c:f>
              <c:numCache>
                <c:formatCode>General</c:formatCode>
                <c:ptCount val="24"/>
                <c:pt idx="0">
                  <c:v>5.5014139525814141</c:v>
                </c:pt>
                <c:pt idx="1">
                  <c:v>5.4796821346055316</c:v>
                </c:pt>
                <c:pt idx="2">
                  <c:v>5.3120181551349965</c:v>
                </c:pt>
                <c:pt idx="3">
                  <c:v>5.3288141368876518</c:v>
                </c:pt>
                <c:pt idx="4">
                  <c:v>5.3515468710972005</c:v>
                </c:pt>
                <c:pt idx="5">
                  <c:v>5.3103852239648006</c:v>
                </c:pt>
                <c:pt idx="6">
                  <c:v>5.445461468081505</c:v>
                </c:pt>
                <c:pt idx="7">
                  <c:v>5.5072202424846743</c:v>
                </c:pt>
                <c:pt idx="8">
                  <c:v>5.7482712806673284</c:v>
                </c:pt>
                <c:pt idx="9">
                  <c:v>6.0719832508665448</c:v>
                </c:pt>
                <c:pt idx="10">
                  <c:v>6.0323470470555725</c:v>
                </c:pt>
                <c:pt idx="11">
                  <c:v>5.9296139887679473</c:v>
                </c:pt>
                <c:pt idx="12">
                  <c:v>5.8406051594753094</c:v>
                </c:pt>
                <c:pt idx="13">
                  <c:v>5.7799124097284187</c:v>
                </c:pt>
                <c:pt idx="14">
                  <c:v>5.7452093145917535</c:v>
                </c:pt>
                <c:pt idx="15">
                  <c:v>5.6779952646335055</c:v>
                </c:pt>
                <c:pt idx="16">
                  <c:v>5.6378999875898259</c:v>
                </c:pt>
                <c:pt idx="17">
                  <c:v>5.6147456040000527</c:v>
                </c:pt>
                <c:pt idx="18">
                  <c:v>5.6181593373751006</c:v>
                </c:pt>
                <c:pt idx="19">
                  <c:v>5.6260651228860841</c:v>
                </c:pt>
                <c:pt idx="20">
                  <c:v>5.6494490481177175</c:v>
                </c:pt>
                <c:pt idx="21">
                  <c:v>5.7084251668171495</c:v>
                </c:pt>
                <c:pt idx="22">
                  <c:v>5.7966196988316074</c:v>
                </c:pt>
                <c:pt idx="23">
                  <c:v>5.754032772861863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446-4589-8E01-09607C2D3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9305439"/>
        <c:axId val="2089307359"/>
      </c:scatterChart>
      <c:valAx>
        <c:axId val="2089305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[hr]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307359"/>
        <c:crosses val="autoZero"/>
        <c:crossBetween val="midCat"/>
      </c:valAx>
      <c:valAx>
        <c:axId val="208930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Density [kg/m3]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305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190499</xdr:colOff>
      <xdr:row>0</xdr:row>
      <xdr:rowOff>300036</xdr:rowOff>
    </xdr:from>
    <xdr:to>
      <xdr:col>22</xdr:col>
      <xdr:colOff>333374</xdr:colOff>
      <xdr:row>18</xdr:row>
      <xdr:rowOff>161924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3A1C05-46A3-83CE-C8EA-9C7386376F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219075</xdr:colOff>
      <xdr:row>20</xdr:row>
      <xdr:rowOff>114300</xdr:rowOff>
    </xdr:from>
    <xdr:to>
      <xdr:col>22</xdr:col>
      <xdr:colOff>361950</xdr:colOff>
      <xdr:row>40</xdr:row>
      <xdr:rowOff>23813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D47A981-3EC1-4332-89A6-DA30483ED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1"/>
  <sheetViews>
    <sheetView tabSelected="1" workbookViewId="0">
      <selection activeCell="M22" sqref="M22"/>
    </sheetView>
  </sheetViews>
  <sheetFormatPr defaultRowHeight="15" customHeight="1" x14ac:dyDescent="0.25"/>
  <cols>
    <col min="1" max="1" width="19.140625" customWidth="1"/>
    <col min="2" max="2" width="7" customWidth="1"/>
    <col min="3" max="6" width="21.28515625" customWidth="1"/>
  </cols>
  <sheetData>
    <row r="1" spans="1:12" ht="4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45068</v>
      </c>
      <c r="B2" s="3">
        <v>0</v>
      </c>
      <c r="C2" s="4">
        <v>62.162799999999997</v>
      </c>
      <c r="D2" s="4">
        <v>690.34659999999997</v>
      </c>
      <c r="E2" s="4">
        <v>14.1622</v>
      </c>
      <c r="F2" s="4">
        <v>154.21789999999999</v>
      </c>
      <c r="G2" s="4">
        <f>(C2-32)*(5/9)+273.15</f>
        <v>289.90711111111108</v>
      </c>
      <c r="H2" s="4">
        <f>(D2-32)*(5/9)+273.15</f>
        <v>638.89811111111112</v>
      </c>
      <c r="I2">
        <f>E2*6894.75729</f>
        <v>97644.931692437996</v>
      </c>
      <c r="J2">
        <f>F2*6894.75729</f>
        <v>1063294.9902734908</v>
      </c>
      <c r="K2">
        <f>I2/(287*G2)</f>
        <v>1.1735698428604526</v>
      </c>
      <c r="L2">
        <f>J2/(287*H2)</f>
        <v>5.7988285281424323</v>
      </c>
    </row>
    <row r="3" spans="1:12" x14ac:dyDescent="0.25">
      <c r="A3" s="2">
        <v>45068.041666666664</v>
      </c>
      <c r="B3" s="3">
        <v>1</v>
      </c>
      <c r="C3" s="4">
        <v>61.642400000000002</v>
      </c>
      <c r="D3" s="4">
        <v>678.05430000000001</v>
      </c>
      <c r="E3" s="4">
        <v>14.1593</v>
      </c>
      <c r="F3" s="4">
        <v>150.05520000000001</v>
      </c>
      <c r="G3" s="4">
        <f t="shared" ref="G3:G66" si="0">(C3-32)*(5/9)+273.15</f>
        <v>289.61799999999999</v>
      </c>
      <c r="H3" s="4">
        <f t="shared" ref="H3:H66" si="1">(D3-32)*(5/9)+273.15</f>
        <v>632.06905555555556</v>
      </c>
      <c r="I3">
        <f t="shared" ref="I3:I66" si="2">E3*6894.75729</f>
        <v>97624.936896296989</v>
      </c>
      <c r="J3">
        <f t="shared" ref="J3:J66" si="3">F3*6894.75729</f>
        <v>1034594.184102408</v>
      </c>
      <c r="K3">
        <f t="shared" ref="K3:K66" si="4">I3/(287*G3)</f>
        <v>1.174500806412438</v>
      </c>
      <c r="L3">
        <f t="shared" ref="L3:L66" si="5">J3/(287*H3)</f>
        <v>5.7032657312427153</v>
      </c>
    </row>
    <row r="4" spans="1:12" x14ac:dyDescent="0.25">
      <c r="A4" s="2">
        <v>45068.083333333336</v>
      </c>
      <c r="B4" s="3">
        <v>2</v>
      </c>
      <c r="C4" s="4">
        <v>59.441899999999997</v>
      </c>
      <c r="D4" s="4">
        <v>653.94839999999999</v>
      </c>
      <c r="E4" s="4">
        <v>14.157</v>
      </c>
      <c r="F4" s="4">
        <v>140.58779999999999</v>
      </c>
      <c r="G4" s="4">
        <f t="shared" si="0"/>
        <v>288.39549999999997</v>
      </c>
      <c r="H4" s="4">
        <f t="shared" si="1"/>
        <v>618.67688888888893</v>
      </c>
      <c r="I4">
        <f t="shared" si="2"/>
        <v>97609.078954529992</v>
      </c>
      <c r="J4">
        <f t="shared" si="3"/>
        <v>969318.75893506187</v>
      </c>
      <c r="K4">
        <f t="shared" si="4"/>
        <v>1.1792878890241325</v>
      </c>
      <c r="L4">
        <f t="shared" si="5"/>
        <v>5.4590972107993929</v>
      </c>
    </row>
    <row r="5" spans="1:12" x14ac:dyDescent="0.25">
      <c r="A5" s="2">
        <v>45068.125</v>
      </c>
      <c r="B5" s="3">
        <v>3</v>
      </c>
      <c r="C5" s="4">
        <v>57.709000000000003</v>
      </c>
      <c r="D5" s="4">
        <v>650.84739999999999</v>
      </c>
      <c r="E5" s="4">
        <v>14.162000000000001</v>
      </c>
      <c r="F5" s="4">
        <v>140.5838</v>
      </c>
      <c r="G5" s="4">
        <f t="shared" si="0"/>
        <v>287.43277777777774</v>
      </c>
      <c r="H5" s="4">
        <f t="shared" si="1"/>
        <v>616.95411111111116</v>
      </c>
      <c r="I5">
        <f t="shared" si="2"/>
        <v>97643.552740979998</v>
      </c>
      <c r="J5">
        <f t="shared" si="3"/>
        <v>969291.1799059019</v>
      </c>
      <c r="K5">
        <f t="shared" si="4"/>
        <v>1.1836556733446599</v>
      </c>
      <c r="L5">
        <f t="shared" si="5"/>
        <v>5.4741853948565042</v>
      </c>
    </row>
    <row r="6" spans="1:12" x14ac:dyDescent="0.25">
      <c r="A6" s="2">
        <v>45068.166666666664</v>
      </c>
      <c r="B6" s="3">
        <v>4</v>
      </c>
      <c r="C6" s="4">
        <v>56.656700000000001</v>
      </c>
      <c r="D6" s="4">
        <v>646.77650000000006</v>
      </c>
      <c r="E6" s="4">
        <v>14.1578</v>
      </c>
      <c r="F6" s="4">
        <v>139.33439999999999</v>
      </c>
      <c r="G6" s="4">
        <f t="shared" si="0"/>
        <v>286.84816666666666</v>
      </c>
      <c r="H6" s="4">
        <f t="shared" si="1"/>
        <v>614.6925</v>
      </c>
      <c r="I6">
        <f t="shared" si="2"/>
        <v>97614.594760361986</v>
      </c>
      <c r="J6">
        <f t="shared" si="3"/>
        <v>960676.87014777586</v>
      </c>
      <c r="K6">
        <f t="shared" si="4"/>
        <v>1.1857162734804909</v>
      </c>
      <c r="L6">
        <f t="shared" si="5"/>
        <v>5.4454970050265548</v>
      </c>
    </row>
    <row r="7" spans="1:12" x14ac:dyDescent="0.25">
      <c r="A7" s="2">
        <v>45068.208333333336</v>
      </c>
      <c r="B7" s="3">
        <v>5</v>
      </c>
      <c r="C7" s="4">
        <v>55.538600000000002</v>
      </c>
      <c r="D7" s="4">
        <v>650.6413</v>
      </c>
      <c r="E7" s="4">
        <v>14.159800000000001</v>
      </c>
      <c r="F7" s="4">
        <v>142.54920000000001</v>
      </c>
      <c r="G7" s="4">
        <f t="shared" si="0"/>
        <v>286.22699999999998</v>
      </c>
      <c r="H7" s="4">
        <f t="shared" si="1"/>
        <v>616.83961111111103</v>
      </c>
      <c r="I7">
        <f t="shared" si="2"/>
        <v>97628.384274942</v>
      </c>
      <c r="J7">
        <f t="shared" si="3"/>
        <v>982842.13588366797</v>
      </c>
      <c r="K7">
        <f t="shared" si="4"/>
        <v>1.1884573653912445</v>
      </c>
      <c r="L7">
        <f t="shared" si="5"/>
        <v>5.5517463488758523</v>
      </c>
    </row>
    <row r="8" spans="1:12" x14ac:dyDescent="0.25">
      <c r="A8" s="2">
        <v>45068.25</v>
      </c>
      <c r="B8" s="3">
        <v>6</v>
      </c>
      <c r="C8" s="4">
        <v>53.988500000000002</v>
      </c>
      <c r="D8" s="4">
        <v>660.33140000000003</v>
      </c>
      <c r="E8" s="4">
        <v>14.1632</v>
      </c>
      <c r="F8" s="4">
        <v>148.81309999999999</v>
      </c>
      <c r="G8" s="4">
        <f t="shared" si="0"/>
        <v>285.36583333333328</v>
      </c>
      <c r="H8" s="4">
        <f t="shared" si="1"/>
        <v>622.22299999999996</v>
      </c>
      <c r="I8">
        <f t="shared" si="2"/>
        <v>97651.826449727989</v>
      </c>
      <c r="J8">
        <f t="shared" si="3"/>
        <v>1026030.2060724989</v>
      </c>
      <c r="K8">
        <f t="shared" si="4"/>
        <v>1.1923300782049668</v>
      </c>
      <c r="L8">
        <f t="shared" si="5"/>
        <v>5.7455576853080519</v>
      </c>
    </row>
    <row r="9" spans="1:12" x14ac:dyDescent="0.25">
      <c r="A9" s="2">
        <v>45068.291666666664</v>
      </c>
      <c r="B9" s="3">
        <v>7</v>
      </c>
      <c r="C9" s="4">
        <v>52.848799999999997</v>
      </c>
      <c r="D9" s="4">
        <v>673.60649999999998</v>
      </c>
      <c r="E9" s="4">
        <v>14.16</v>
      </c>
      <c r="F9" s="4">
        <v>155.64449999999999</v>
      </c>
      <c r="G9" s="4">
        <f t="shared" si="0"/>
        <v>284.73266666666666</v>
      </c>
      <c r="H9" s="4">
        <f t="shared" si="1"/>
        <v>629.59805555555556</v>
      </c>
      <c r="I9">
        <f t="shared" si="2"/>
        <v>97629.763226399999</v>
      </c>
      <c r="J9">
        <f t="shared" si="3"/>
        <v>1073131.0510234048</v>
      </c>
      <c r="K9">
        <f t="shared" si="4"/>
        <v>1.1947114990883352</v>
      </c>
      <c r="L9">
        <f t="shared" si="5"/>
        <v>5.9389201554373967</v>
      </c>
    </row>
    <row r="10" spans="1:12" x14ac:dyDescent="0.25">
      <c r="A10" s="2">
        <v>45068.333333333336</v>
      </c>
      <c r="B10" s="3">
        <v>8</v>
      </c>
      <c r="C10" s="4">
        <v>55.095999999999997</v>
      </c>
      <c r="D10" s="4">
        <v>686.15610000000004</v>
      </c>
      <c r="E10" s="4">
        <v>14.1663</v>
      </c>
      <c r="F10" s="4">
        <v>158.27670000000001</v>
      </c>
      <c r="G10" s="4">
        <f t="shared" si="0"/>
        <v>285.98111111111109</v>
      </c>
      <c r="H10" s="4">
        <f t="shared" si="1"/>
        <v>636.57005555555565</v>
      </c>
      <c r="I10">
        <f t="shared" si="2"/>
        <v>97673.200197326994</v>
      </c>
      <c r="J10">
        <f t="shared" si="3"/>
        <v>1091279.4311621429</v>
      </c>
      <c r="K10">
        <f t="shared" si="4"/>
        <v>1.1900252364264845</v>
      </c>
      <c r="L10">
        <f t="shared" si="5"/>
        <v>5.9732111537153649</v>
      </c>
    </row>
    <row r="11" spans="1:12" x14ac:dyDescent="0.25">
      <c r="A11" s="2">
        <v>45068.375</v>
      </c>
      <c r="B11" s="3">
        <v>9</v>
      </c>
      <c r="C11" s="4">
        <v>58.393300000000004</v>
      </c>
      <c r="D11" s="4">
        <v>689.41</v>
      </c>
      <c r="E11" s="4">
        <v>14.1805</v>
      </c>
      <c r="F11" s="4">
        <v>157.33860000000001</v>
      </c>
      <c r="G11" s="4">
        <f t="shared" si="0"/>
        <v>287.81294444444444</v>
      </c>
      <c r="H11" s="4">
        <f t="shared" si="1"/>
        <v>638.37777777777774</v>
      </c>
      <c r="I11">
        <f t="shared" si="2"/>
        <v>97771.105750845003</v>
      </c>
      <c r="J11">
        <f t="shared" si="3"/>
        <v>1084811.4593483941</v>
      </c>
      <c r="K11">
        <f t="shared" si="4"/>
        <v>1.1836363870078876</v>
      </c>
      <c r="L11">
        <f t="shared" si="5"/>
        <v>5.920993807095698</v>
      </c>
    </row>
    <row r="12" spans="1:12" x14ac:dyDescent="0.25">
      <c r="A12" s="2">
        <v>45068.416666666664</v>
      </c>
      <c r="B12" s="3">
        <v>10</v>
      </c>
      <c r="C12" s="4">
        <v>63.488500000000002</v>
      </c>
      <c r="D12" s="4">
        <v>696.36950000000002</v>
      </c>
      <c r="E12" s="4">
        <v>14.1996</v>
      </c>
      <c r="F12" s="4">
        <v>155.6439</v>
      </c>
      <c r="G12" s="4">
        <f t="shared" si="0"/>
        <v>290.64361111111111</v>
      </c>
      <c r="H12" s="4">
        <f t="shared" si="1"/>
        <v>642.24416666666662</v>
      </c>
      <c r="I12">
        <f t="shared" si="2"/>
        <v>97902.795615083989</v>
      </c>
      <c r="J12">
        <f t="shared" si="3"/>
        <v>1073126.914169031</v>
      </c>
      <c r="K12">
        <f t="shared" si="4"/>
        <v>1.1736873282485314</v>
      </c>
      <c r="L12">
        <f t="shared" si="5"/>
        <v>5.8219573830352873</v>
      </c>
    </row>
    <row r="13" spans="1:12" x14ac:dyDescent="0.25">
      <c r="A13" s="2">
        <v>45068.458333333336</v>
      </c>
      <c r="B13" s="3">
        <v>11</v>
      </c>
      <c r="C13" s="4">
        <v>67.286500000000004</v>
      </c>
      <c r="D13" s="4">
        <v>701.0788</v>
      </c>
      <c r="E13" s="4">
        <v>14.1997</v>
      </c>
      <c r="F13" s="4">
        <v>154.36240000000001</v>
      </c>
      <c r="G13" s="4">
        <f t="shared" si="0"/>
        <v>292.75361111111107</v>
      </c>
      <c r="H13" s="4">
        <f t="shared" si="1"/>
        <v>644.86044444444451</v>
      </c>
      <c r="I13">
        <f t="shared" si="2"/>
        <v>97903.485090812988</v>
      </c>
      <c r="J13">
        <f t="shared" si="3"/>
        <v>1064291.282701896</v>
      </c>
      <c r="K13">
        <f t="shared" si="4"/>
        <v>1.165236269698791</v>
      </c>
      <c r="L13">
        <f t="shared" si="5"/>
        <v>5.7505961598741955</v>
      </c>
    </row>
    <row r="14" spans="1:12" x14ac:dyDescent="0.25">
      <c r="A14" s="2">
        <v>45068.5</v>
      </c>
      <c r="B14" s="3">
        <v>12</v>
      </c>
      <c r="C14" s="4">
        <v>70.732399999999998</v>
      </c>
      <c r="D14" s="4">
        <v>706.15239999999994</v>
      </c>
      <c r="E14" s="4">
        <v>14.2012</v>
      </c>
      <c r="F14" s="4">
        <v>153.14670000000001</v>
      </c>
      <c r="G14" s="4">
        <f t="shared" si="0"/>
        <v>294.66800000000001</v>
      </c>
      <c r="H14" s="4">
        <f t="shared" si="1"/>
        <v>647.67911111111107</v>
      </c>
      <c r="I14">
        <f t="shared" si="2"/>
        <v>97913.827226747992</v>
      </c>
      <c r="J14">
        <f t="shared" si="3"/>
        <v>1055909.3262644431</v>
      </c>
      <c r="K14">
        <f t="shared" si="4"/>
        <v>1.1577882941778828</v>
      </c>
      <c r="L14">
        <f t="shared" si="5"/>
        <v>5.6804774296925133</v>
      </c>
    </row>
    <row r="15" spans="1:12" x14ac:dyDescent="0.25">
      <c r="A15" s="2">
        <v>45068.541666666664</v>
      </c>
      <c r="B15" s="3">
        <v>13</v>
      </c>
      <c r="C15" s="4">
        <v>73.787899999999993</v>
      </c>
      <c r="D15" s="4">
        <v>709.15099999999995</v>
      </c>
      <c r="E15" s="4">
        <v>14.191700000000001</v>
      </c>
      <c r="F15" s="4">
        <v>152.24789999999999</v>
      </c>
      <c r="G15" s="4">
        <f t="shared" si="0"/>
        <v>296.3655</v>
      </c>
      <c r="H15" s="4">
        <f t="shared" si="1"/>
        <v>649.34500000000003</v>
      </c>
      <c r="I15">
        <f t="shared" si="2"/>
        <v>97848.327032493005</v>
      </c>
      <c r="J15">
        <f t="shared" si="3"/>
        <v>1049712.3184121908</v>
      </c>
      <c r="K15">
        <f t="shared" si="4"/>
        <v>1.15038672650982</v>
      </c>
      <c r="L15">
        <f t="shared" si="5"/>
        <v>5.632651688232662</v>
      </c>
    </row>
    <row r="16" spans="1:12" x14ac:dyDescent="0.25">
      <c r="A16" s="2">
        <v>45068.583333333336</v>
      </c>
      <c r="B16" s="3">
        <v>14</v>
      </c>
      <c r="C16" s="4">
        <v>74.997100000000003</v>
      </c>
      <c r="D16" s="4">
        <v>710.53420000000006</v>
      </c>
      <c r="E16" s="4">
        <v>14.161</v>
      </c>
      <c r="F16" s="4">
        <v>151.83529999999999</v>
      </c>
      <c r="G16" s="4">
        <f t="shared" si="0"/>
        <v>297.03727777777777</v>
      </c>
      <c r="H16" s="4">
        <f t="shared" si="1"/>
        <v>650.11344444444444</v>
      </c>
      <c r="I16">
        <f t="shared" si="2"/>
        <v>97636.657983689991</v>
      </c>
      <c r="J16">
        <f t="shared" si="3"/>
        <v>1046867.5415543369</v>
      </c>
      <c r="K16">
        <f t="shared" si="4"/>
        <v>1.1453020884194496</v>
      </c>
      <c r="L16">
        <f t="shared" si="5"/>
        <v>5.6107470583464458</v>
      </c>
    </row>
    <row r="17" spans="1:12" x14ac:dyDescent="0.25">
      <c r="A17" s="2">
        <v>45068.625</v>
      </c>
      <c r="B17" s="3">
        <v>15</v>
      </c>
      <c r="C17" s="4">
        <v>75.882599999999996</v>
      </c>
      <c r="D17" s="4">
        <v>711.91219999999998</v>
      </c>
      <c r="E17" s="4">
        <v>14.1578</v>
      </c>
      <c r="F17" s="4">
        <v>151.49369999999999</v>
      </c>
      <c r="G17" s="4">
        <f t="shared" si="0"/>
        <v>297.52922222222219</v>
      </c>
      <c r="H17" s="4">
        <f t="shared" si="1"/>
        <v>650.87899999999991</v>
      </c>
      <c r="I17">
        <f t="shared" si="2"/>
        <v>97614.594760361986</v>
      </c>
      <c r="J17">
        <f t="shared" si="3"/>
        <v>1044512.2924640728</v>
      </c>
      <c r="K17">
        <f t="shared" si="4"/>
        <v>1.1431500297496071</v>
      </c>
      <c r="L17">
        <f t="shared" si="5"/>
        <v>5.5915395229910985</v>
      </c>
    </row>
    <row r="18" spans="1:12" x14ac:dyDescent="0.25">
      <c r="A18" s="2">
        <v>45068.666666666664</v>
      </c>
      <c r="B18" s="3">
        <v>16</v>
      </c>
      <c r="C18" s="4">
        <v>77.598600000000005</v>
      </c>
      <c r="D18" s="4">
        <v>713.96559999999999</v>
      </c>
      <c r="E18" s="4">
        <v>14.1526</v>
      </c>
      <c r="F18" s="4">
        <v>150.82560000000001</v>
      </c>
      <c r="G18" s="4">
        <f t="shared" si="0"/>
        <v>298.48255555555556</v>
      </c>
      <c r="H18" s="4">
        <f t="shared" si="1"/>
        <v>652.01977777777779</v>
      </c>
      <c r="I18">
        <f t="shared" si="2"/>
        <v>97578.742022453996</v>
      </c>
      <c r="J18">
        <f t="shared" si="3"/>
        <v>1039905.905118624</v>
      </c>
      <c r="K18">
        <f t="shared" si="4"/>
        <v>1.1390803598895525</v>
      </c>
      <c r="L18">
        <f t="shared" si="5"/>
        <v>5.5571405140663197</v>
      </c>
    </row>
    <row r="19" spans="1:12" x14ac:dyDescent="0.25">
      <c r="A19" s="2">
        <v>45068.708333333336</v>
      </c>
      <c r="B19" s="3">
        <v>17</v>
      </c>
      <c r="C19" s="4">
        <v>76.733099999999993</v>
      </c>
      <c r="D19" s="4">
        <v>712.70090000000005</v>
      </c>
      <c r="E19" s="4">
        <v>14.1525</v>
      </c>
      <c r="F19" s="4">
        <v>151.1337</v>
      </c>
      <c r="G19" s="4">
        <f t="shared" si="0"/>
        <v>298.00172222222221</v>
      </c>
      <c r="H19" s="4">
        <f t="shared" si="1"/>
        <v>651.31716666666671</v>
      </c>
      <c r="I19">
        <f t="shared" si="2"/>
        <v>97578.052546724997</v>
      </c>
      <c r="J19">
        <f t="shared" si="3"/>
        <v>1042030.179839673</v>
      </c>
      <c r="K19">
        <f t="shared" si="4"/>
        <v>1.1409102333810794</v>
      </c>
      <c r="L19">
        <f t="shared" si="5"/>
        <v>5.5744994343130587</v>
      </c>
    </row>
    <row r="20" spans="1:12" x14ac:dyDescent="0.25">
      <c r="A20" s="2">
        <v>45068.75</v>
      </c>
      <c r="B20" s="3">
        <v>18</v>
      </c>
      <c r="C20" s="4">
        <v>75.239199999999997</v>
      </c>
      <c r="D20" s="4">
        <v>710.58330000000001</v>
      </c>
      <c r="E20" s="4">
        <v>14.1516</v>
      </c>
      <c r="F20" s="4">
        <v>151.68950000000001</v>
      </c>
      <c r="G20" s="4">
        <f t="shared" si="0"/>
        <v>297.17177777777778</v>
      </c>
      <c r="H20" s="4">
        <f t="shared" si="1"/>
        <v>650.14072222222217</v>
      </c>
      <c r="I20">
        <f t="shared" si="2"/>
        <v>97571.84726516399</v>
      </c>
      <c r="J20">
        <f t="shared" si="3"/>
        <v>1045862.285941455</v>
      </c>
      <c r="K20">
        <f t="shared" si="4"/>
        <v>1.144023822856552</v>
      </c>
      <c r="L20">
        <f t="shared" si="5"/>
        <v>5.6051241502836699</v>
      </c>
    </row>
    <row r="21" spans="1:12" x14ac:dyDescent="0.25">
      <c r="A21" s="2">
        <v>45068.791666666664</v>
      </c>
      <c r="B21" s="3">
        <v>19</v>
      </c>
      <c r="C21" s="4">
        <v>75.701099999999997</v>
      </c>
      <c r="D21" s="4">
        <v>711.6019</v>
      </c>
      <c r="E21" s="4">
        <v>14.1515</v>
      </c>
      <c r="F21" s="4">
        <v>151.5412</v>
      </c>
      <c r="G21" s="4">
        <f t="shared" si="0"/>
        <v>297.42838888888889</v>
      </c>
      <c r="H21" s="4">
        <f t="shared" si="1"/>
        <v>650.7066111111111</v>
      </c>
      <c r="I21">
        <f t="shared" si="2"/>
        <v>97571.15778943499</v>
      </c>
      <c r="J21">
        <f t="shared" si="3"/>
        <v>1044839.793435348</v>
      </c>
      <c r="K21">
        <f t="shared" si="4"/>
        <v>1.1430287208762639</v>
      </c>
      <c r="L21">
        <f t="shared" si="5"/>
        <v>5.594774525704171</v>
      </c>
    </row>
    <row r="22" spans="1:12" x14ac:dyDescent="0.25">
      <c r="A22" s="2">
        <v>45068.833333333336</v>
      </c>
      <c r="B22" s="3">
        <v>20</v>
      </c>
      <c r="C22" s="4">
        <v>73.801000000000002</v>
      </c>
      <c r="D22" s="4">
        <v>710.06820000000005</v>
      </c>
      <c r="E22" s="4">
        <v>14.1533</v>
      </c>
      <c r="F22" s="4">
        <v>152.2296</v>
      </c>
      <c r="G22" s="4">
        <f t="shared" si="0"/>
        <v>296.37277777777774</v>
      </c>
      <c r="H22" s="4">
        <f t="shared" si="1"/>
        <v>649.85455555555563</v>
      </c>
      <c r="I22">
        <f t="shared" si="2"/>
        <v>97583.568352556991</v>
      </c>
      <c r="J22">
        <f t="shared" si="3"/>
        <v>1049586.1443537839</v>
      </c>
      <c r="K22">
        <f t="shared" si="4"/>
        <v>1.1472458295043353</v>
      </c>
      <c r="L22">
        <f t="shared" si="5"/>
        <v>5.6275585796324643</v>
      </c>
    </row>
    <row r="23" spans="1:12" x14ac:dyDescent="0.25">
      <c r="A23" s="2">
        <v>45068.875</v>
      </c>
      <c r="B23" s="3">
        <v>21</v>
      </c>
      <c r="C23" s="4">
        <v>70.95</v>
      </c>
      <c r="D23" s="4">
        <v>706.14729999999997</v>
      </c>
      <c r="E23" s="4">
        <v>14.1541</v>
      </c>
      <c r="F23" s="4">
        <v>153.14660000000001</v>
      </c>
      <c r="G23" s="4">
        <f t="shared" si="0"/>
        <v>294.78888888888889</v>
      </c>
      <c r="H23" s="4">
        <f t="shared" si="1"/>
        <v>647.67627777777784</v>
      </c>
      <c r="I23">
        <f t="shared" si="2"/>
        <v>97589.084158388985</v>
      </c>
      <c r="J23">
        <f t="shared" si="3"/>
        <v>1055908.636788714</v>
      </c>
      <c r="K23">
        <f t="shared" si="4"/>
        <v>1.1534751306314877</v>
      </c>
      <c r="L23">
        <f t="shared" si="5"/>
        <v>5.6804985703951498</v>
      </c>
    </row>
    <row r="24" spans="1:12" x14ac:dyDescent="0.25">
      <c r="A24" s="2">
        <v>45068.916666666664</v>
      </c>
      <c r="B24" s="3">
        <v>22</v>
      </c>
      <c r="C24" s="4">
        <v>67.842200000000005</v>
      </c>
      <c r="D24" s="4">
        <v>702.18529999999998</v>
      </c>
      <c r="E24" s="4">
        <v>14.1693</v>
      </c>
      <c r="F24" s="4">
        <v>154.26609999999999</v>
      </c>
      <c r="G24" s="4">
        <f t="shared" si="0"/>
        <v>293.0623333333333</v>
      </c>
      <c r="H24" s="4">
        <f t="shared" si="1"/>
        <v>645.47516666666661</v>
      </c>
      <c r="I24">
        <f t="shared" si="2"/>
        <v>97693.884469196986</v>
      </c>
      <c r="J24">
        <f t="shared" si="3"/>
        <v>1063627.3175748689</v>
      </c>
      <c r="K24">
        <f t="shared" si="4"/>
        <v>1.1615167535366266</v>
      </c>
      <c r="L24">
        <f t="shared" si="5"/>
        <v>5.7415354137849848</v>
      </c>
    </row>
    <row r="25" spans="1:12" x14ac:dyDescent="0.25">
      <c r="A25" s="2">
        <v>45068.958333333336</v>
      </c>
      <c r="B25" s="3">
        <v>23</v>
      </c>
      <c r="C25" s="4">
        <v>64.0381</v>
      </c>
      <c r="D25" s="4">
        <v>696.58579999999995</v>
      </c>
      <c r="E25" s="4">
        <v>14.211</v>
      </c>
      <c r="F25" s="4">
        <v>155.68629999999999</v>
      </c>
      <c r="G25" s="4">
        <f t="shared" si="0"/>
        <v>290.94894444444441</v>
      </c>
      <c r="H25" s="4">
        <f t="shared" si="1"/>
        <v>642.36433333333332</v>
      </c>
      <c r="I25">
        <f t="shared" si="2"/>
        <v>97981.39584818999</v>
      </c>
      <c r="J25">
        <f t="shared" si="3"/>
        <v>1073419.2518781268</v>
      </c>
      <c r="K25">
        <f t="shared" si="4"/>
        <v>1.1733969080294389</v>
      </c>
      <c r="L25">
        <f t="shared" si="5"/>
        <v>5.8224539751727766</v>
      </c>
    </row>
    <row r="26" spans="1:12" x14ac:dyDescent="0.25">
      <c r="A26" s="2">
        <v>45069</v>
      </c>
      <c r="B26" s="3">
        <v>0</v>
      </c>
      <c r="C26" s="4">
        <v>62.057200000000002</v>
      </c>
      <c r="D26" s="4">
        <v>694.69209999999998</v>
      </c>
      <c r="E26" s="4">
        <v>14.2232</v>
      </c>
      <c r="F26" s="4">
        <v>156.22049999999999</v>
      </c>
      <c r="G26" s="4">
        <f t="shared" si="0"/>
        <v>289.84844444444445</v>
      </c>
      <c r="H26" s="4">
        <f t="shared" si="1"/>
        <v>641.31227777777781</v>
      </c>
      <c r="I26">
        <f t="shared" si="2"/>
        <v>98065.511887127999</v>
      </c>
      <c r="J26">
        <f t="shared" si="3"/>
        <v>1077102.4312224449</v>
      </c>
      <c r="K26">
        <f t="shared" si="4"/>
        <v>1.1788632493928008</v>
      </c>
      <c r="L26">
        <f t="shared" si="5"/>
        <v>5.852016675303167</v>
      </c>
    </row>
    <row r="27" spans="1:12" x14ac:dyDescent="0.25">
      <c r="A27" s="2">
        <v>45069.041666666664</v>
      </c>
      <c r="B27" s="3">
        <v>1</v>
      </c>
      <c r="C27" s="4">
        <v>61.357100000000003</v>
      </c>
      <c r="D27" s="4">
        <v>689.95519999999999</v>
      </c>
      <c r="E27" s="4">
        <v>14.223599999999999</v>
      </c>
      <c r="F27" s="4">
        <v>155.2689</v>
      </c>
      <c r="G27" s="4">
        <f t="shared" si="0"/>
        <v>289.45949999999999</v>
      </c>
      <c r="H27" s="4">
        <f t="shared" si="1"/>
        <v>638.68066666666664</v>
      </c>
      <c r="I27">
        <f t="shared" si="2"/>
        <v>98068.269790043996</v>
      </c>
      <c r="J27">
        <f t="shared" si="3"/>
        <v>1070541.3801852809</v>
      </c>
      <c r="K27">
        <f t="shared" si="4"/>
        <v>1.1804804764295256</v>
      </c>
      <c r="L27">
        <f t="shared" si="5"/>
        <v>5.8403354497834687</v>
      </c>
    </row>
    <row r="28" spans="1:12" x14ac:dyDescent="0.25">
      <c r="A28" s="2">
        <v>45069.083333333336</v>
      </c>
      <c r="B28" s="3">
        <v>2</v>
      </c>
      <c r="C28" s="4">
        <v>59.904899999999998</v>
      </c>
      <c r="D28" s="4">
        <v>684.04920000000004</v>
      </c>
      <c r="E28" s="4">
        <v>14.221299999999999</v>
      </c>
      <c r="F28" s="4">
        <v>154.50989999999999</v>
      </c>
      <c r="G28" s="4">
        <f t="shared" si="0"/>
        <v>288.65272222222222</v>
      </c>
      <c r="H28" s="4">
        <f t="shared" si="1"/>
        <v>635.39955555555559</v>
      </c>
      <c r="I28">
        <f t="shared" si="2"/>
        <v>98052.411848276985</v>
      </c>
      <c r="J28">
        <f t="shared" si="3"/>
        <v>1065308.2594021708</v>
      </c>
      <c r="K28">
        <f t="shared" si="4"/>
        <v>1.1835884715874403</v>
      </c>
      <c r="L28">
        <f t="shared" si="5"/>
        <v>5.8417973947979913</v>
      </c>
    </row>
    <row r="29" spans="1:12" x14ac:dyDescent="0.25">
      <c r="A29" s="2">
        <v>45069.125</v>
      </c>
      <c r="B29" s="3">
        <v>3</v>
      </c>
      <c r="C29" s="4">
        <v>58.240099999999998</v>
      </c>
      <c r="D29" s="4">
        <v>675.17240000000004</v>
      </c>
      <c r="E29" s="4">
        <v>14.226800000000001</v>
      </c>
      <c r="F29" s="4">
        <v>152.47730000000001</v>
      </c>
      <c r="G29" s="4">
        <f t="shared" si="0"/>
        <v>287.72783333333331</v>
      </c>
      <c r="H29" s="4">
        <f t="shared" si="1"/>
        <v>630.46800000000007</v>
      </c>
      <c r="I29">
        <f t="shared" si="2"/>
        <v>98090.333013372001</v>
      </c>
      <c r="J29">
        <f t="shared" si="3"/>
        <v>1051293.975734517</v>
      </c>
      <c r="K29">
        <f t="shared" si="4"/>
        <v>1.1878522833545542</v>
      </c>
      <c r="L29">
        <f t="shared" si="5"/>
        <v>5.8100414479696445</v>
      </c>
    </row>
    <row r="30" spans="1:12" x14ac:dyDescent="0.25">
      <c r="A30" s="2">
        <v>45069.166666666664</v>
      </c>
      <c r="B30" s="3">
        <v>4</v>
      </c>
      <c r="C30" s="4">
        <v>57.118499999999997</v>
      </c>
      <c r="D30" s="4">
        <v>670.85270000000003</v>
      </c>
      <c r="E30" s="4">
        <v>14.2258</v>
      </c>
      <c r="F30" s="4">
        <v>151.6704</v>
      </c>
      <c r="G30" s="4">
        <f t="shared" si="0"/>
        <v>287.10472222222222</v>
      </c>
      <c r="H30" s="4">
        <f t="shared" si="1"/>
        <v>628.06816666666668</v>
      </c>
      <c r="I30">
        <f t="shared" si="2"/>
        <v>98083.438256081994</v>
      </c>
      <c r="J30">
        <f t="shared" si="3"/>
        <v>1045730.596077216</v>
      </c>
      <c r="K30">
        <f t="shared" si="4"/>
        <v>1.1903466359587516</v>
      </c>
      <c r="L30">
        <f t="shared" si="5"/>
        <v>5.801377632060845</v>
      </c>
    </row>
    <row r="31" spans="1:12" x14ac:dyDescent="0.25">
      <c r="A31" s="2">
        <v>45069.208333333336</v>
      </c>
      <c r="B31" s="3">
        <v>5</v>
      </c>
      <c r="C31" s="4">
        <v>56.186900000000001</v>
      </c>
      <c r="D31" s="4">
        <v>675.64760000000001</v>
      </c>
      <c r="E31" s="4">
        <v>14.2248</v>
      </c>
      <c r="F31" s="4">
        <v>154.3449</v>
      </c>
      <c r="G31" s="4">
        <f t="shared" si="0"/>
        <v>286.58716666666663</v>
      </c>
      <c r="H31" s="4">
        <f t="shared" si="1"/>
        <v>630.73199999999997</v>
      </c>
      <c r="I31">
        <f t="shared" si="2"/>
        <v>98076.543498792002</v>
      </c>
      <c r="J31">
        <f t="shared" si="3"/>
        <v>1064170.6244493208</v>
      </c>
      <c r="K31">
        <f t="shared" si="4"/>
        <v>1.1924124890002505</v>
      </c>
      <c r="L31">
        <f t="shared" si="5"/>
        <v>5.8787434020267098</v>
      </c>
    </row>
    <row r="32" spans="1:12" x14ac:dyDescent="0.25">
      <c r="A32" s="2">
        <v>45069.25</v>
      </c>
      <c r="B32" s="3">
        <v>6</v>
      </c>
      <c r="C32" s="4">
        <v>55.033999999999999</v>
      </c>
      <c r="D32" s="4">
        <v>685.67539999999997</v>
      </c>
      <c r="E32" s="4">
        <v>14.227499999999999</v>
      </c>
      <c r="F32" s="4">
        <v>158.47710000000001</v>
      </c>
      <c r="G32" s="4">
        <f t="shared" si="0"/>
        <v>285.94666666666666</v>
      </c>
      <c r="H32" s="4">
        <f t="shared" si="1"/>
        <v>636.303</v>
      </c>
      <c r="I32">
        <f t="shared" si="2"/>
        <v>98095.159343474981</v>
      </c>
      <c r="J32">
        <f t="shared" si="3"/>
        <v>1092661.1405230591</v>
      </c>
      <c r="K32">
        <f t="shared" si="4"/>
        <v>1.1953102453517681</v>
      </c>
      <c r="L32">
        <f t="shared" si="5"/>
        <v>5.9832841811155575</v>
      </c>
    </row>
    <row r="33" spans="1:12" x14ac:dyDescent="0.25">
      <c r="A33" s="2">
        <v>45069.291666666664</v>
      </c>
      <c r="B33" s="3">
        <v>7</v>
      </c>
      <c r="C33" s="4">
        <v>54.377699999999997</v>
      </c>
      <c r="D33" s="4">
        <v>685.02980000000002</v>
      </c>
      <c r="E33" s="4">
        <v>14.222799999999999</v>
      </c>
      <c r="F33" s="4">
        <v>159.03</v>
      </c>
      <c r="G33" s="4">
        <f t="shared" si="0"/>
        <v>285.58205555555554</v>
      </c>
      <c r="H33" s="4">
        <f t="shared" si="1"/>
        <v>635.94433333333336</v>
      </c>
      <c r="I33">
        <f t="shared" si="2"/>
        <v>98062.753984211988</v>
      </c>
      <c r="J33">
        <f t="shared" si="3"/>
        <v>1096473.2518286998</v>
      </c>
      <c r="K33">
        <f t="shared" si="4"/>
        <v>1.1964409632345816</v>
      </c>
      <c r="L33">
        <f t="shared" si="5"/>
        <v>6.0075451448099422</v>
      </c>
    </row>
    <row r="34" spans="1:12" x14ac:dyDescent="0.25">
      <c r="A34" s="2">
        <v>45069.333333333336</v>
      </c>
      <c r="B34" s="3">
        <v>8</v>
      </c>
      <c r="C34" s="4">
        <v>55.947299999999998</v>
      </c>
      <c r="D34" s="4">
        <v>686.9434</v>
      </c>
      <c r="E34" s="4">
        <v>14.2264</v>
      </c>
      <c r="F34" s="4">
        <v>158.6114</v>
      </c>
      <c r="G34" s="4">
        <f t="shared" si="0"/>
        <v>286.45405555555556</v>
      </c>
      <c r="H34" s="4">
        <f t="shared" si="1"/>
        <v>637.00744444444445</v>
      </c>
      <c r="I34">
        <f t="shared" si="2"/>
        <v>98087.575110455989</v>
      </c>
      <c r="J34">
        <f t="shared" si="3"/>
        <v>1093587.1064271058</v>
      </c>
      <c r="K34">
        <f t="shared" si="4"/>
        <v>1.1931007704848129</v>
      </c>
      <c r="L34">
        <f t="shared" si="5"/>
        <v>5.9817323479705387</v>
      </c>
    </row>
    <row r="35" spans="1:12" x14ac:dyDescent="0.25">
      <c r="A35" s="2">
        <v>45069.375</v>
      </c>
      <c r="B35" s="3">
        <v>9</v>
      </c>
      <c r="C35" s="4">
        <v>59.8399</v>
      </c>
      <c r="D35" s="4">
        <v>691.19330000000002</v>
      </c>
      <c r="E35" s="4">
        <v>14.223800000000001</v>
      </c>
      <c r="F35" s="4">
        <v>157.3956</v>
      </c>
      <c r="G35" s="4">
        <f t="shared" si="0"/>
        <v>288.61661111111107</v>
      </c>
      <c r="H35" s="4">
        <f t="shared" si="1"/>
        <v>639.36850000000004</v>
      </c>
      <c r="I35">
        <f t="shared" si="2"/>
        <v>98069.648741501995</v>
      </c>
      <c r="J35">
        <f t="shared" si="3"/>
        <v>1085204.460513924</v>
      </c>
      <c r="K35">
        <f t="shared" si="4"/>
        <v>1.1839446519050691</v>
      </c>
      <c r="L35">
        <f t="shared" si="5"/>
        <v>5.9139607454072403</v>
      </c>
    </row>
    <row r="36" spans="1:12" x14ac:dyDescent="0.25">
      <c r="A36" s="2">
        <v>45069.416666666664</v>
      </c>
      <c r="B36" s="3">
        <v>10</v>
      </c>
      <c r="C36" s="4">
        <v>63.495800000000003</v>
      </c>
      <c r="D36" s="4">
        <v>695.68039999999996</v>
      </c>
      <c r="E36" s="4">
        <v>14.2179</v>
      </c>
      <c r="F36" s="4">
        <v>156.125</v>
      </c>
      <c r="G36" s="4">
        <f t="shared" si="0"/>
        <v>290.64766666666662</v>
      </c>
      <c r="H36" s="4">
        <f t="shared" si="1"/>
        <v>641.86133333333328</v>
      </c>
      <c r="I36">
        <f t="shared" si="2"/>
        <v>98028.969673490996</v>
      </c>
      <c r="J36">
        <f t="shared" si="3"/>
        <v>1076443.9819012498</v>
      </c>
      <c r="K36">
        <f t="shared" si="4"/>
        <v>1.1751835415722183</v>
      </c>
      <c r="L36">
        <f t="shared" si="5"/>
        <v>5.8434364251982354</v>
      </c>
    </row>
    <row r="37" spans="1:12" x14ac:dyDescent="0.25">
      <c r="A37" s="2">
        <v>45069.458333333336</v>
      </c>
      <c r="B37" s="3">
        <v>11</v>
      </c>
      <c r="C37" s="4">
        <v>66.375399999999999</v>
      </c>
      <c r="D37" s="4">
        <v>699.55370000000005</v>
      </c>
      <c r="E37" s="4">
        <v>14.223599999999999</v>
      </c>
      <c r="F37" s="4">
        <v>155.14449999999999</v>
      </c>
      <c r="G37" s="4">
        <f t="shared" si="0"/>
        <v>292.2474444444444</v>
      </c>
      <c r="H37" s="4">
        <f t="shared" si="1"/>
        <v>644.01316666666662</v>
      </c>
      <c r="I37">
        <f t="shared" si="2"/>
        <v>98068.269790043996</v>
      </c>
      <c r="J37">
        <f t="shared" si="3"/>
        <v>1069683.672378405</v>
      </c>
      <c r="K37">
        <f t="shared" si="4"/>
        <v>1.1692190811680783</v>
      </c>
      <c r="L37">
        <f t="shared" si="5"/>
        <v>5.7873363505469539</v>
      </c>
    </row>
    <row r="38" spans="1:12" x14ac:dyDescent="0.25">
      <c r="A38" s="2">
        <v>45069.5</v>
      </c>
      <c r="B38" s="3">
        <v>12</v>
      </c>
      <c r="C38" s="4">
        <v>69.864199999999997</v>
      </c>
      <c r="D38" s="4">
        <v>704.82929999999999</v>
      </c>
      <c r="E38" s="4">
        <v>14.2263</v>
      </c>
      <c r="F38" s="4">
        <v>153.78790000000001</v>
      </c>
      <c r="G38" s="4">
        <f t="shared" si="0"/>
        <v>294.18566666666663</v>
      </c>
      <c r="H38" s="4">
        <f t="shared" si="1"/>
        <v>646.94405555555556</v>
      </c>
      <c r="I38">
        <f t="shared" si="2"/>
        <v>98086.88563472699</v>
      </c>
      <c r="J38">
        <f t="shared" si="3"/>
        <v>1060330.2446387911</v>
      </c>
      <c r="K38">
        <f t="shared" si="4"/>
        <v>1.1617362460579077</v>
      </c>
      <c r="L38">
        <f t="shared" si="5"/>
        <v>5.7107418136056189</v>
      </c>
    </row>
    <row r="39" spans="1:12" x14ac:dyDescent="0.25">
      <c r="A39" s="2">
        <v>45069.541666666664</v>
      </c>
      <c r="B39" s="3">
        <v>13</v>
      </c>
      <c r="C39" s="4">
        <v>72.350700000000003</v>
      </c>
      <c r="D39" s="4">
        <v>706.9366</v>
      </c>
      <c r="E39" s="4">
        <v>14.223599999999999</v>
      </c>
      <c r="F39" s="4">
        <v>152.90459999999999</v>
      </c>
      <c r="G39" s="4">
        <f t="shared" si="0"/>
        <v>295.56705555555556</v>
      </c>
      <c r="H39" s="4">
        <f t="shared" si="1"/>
        <v>648.11477777777782</v>
      </c>
      <c r="I39">
        <f t="shared" si="2"/>
        <v>98068.269790043996</v>
      </c>
      <c r="J39">
        <f t="shared" si="3"/>
        <v>1054240.1055245339</v>
      </c>
      <c r="K39">
        <f t="shared" si="4"/>
        <v>1.1560871959318388</v>
      </c>
      <c r="L39">
        <f t="shared" si="5"/>
        <v>5.6676851047985286</v>
      </c>
    </row>
    <row r="40" spans="1:12" x14ac:dyDescent="0.25">
      <c r="A40" s="2">
        <v>45069.583333333336</v>
      </c>
      <c r="B40" s="3">
        <v>14</v>
      </c>
      <c r="C40" s="4">
        <v>74.902799999999999</v>
      </c>
      <c r="D40" s="4">
        <v>710.38969999999995</v>
      </c>
      <c r="E40" s="4">
        <v>14.219099999999999</v>
      </c>
      <c r="F40" s="4">
        <v>152.03210000000001</v>
      </c>
      <c r="G40" s="4">
        <f t="shared" si="0"/>
        <v>296.98488888888886</v>
      </c>
      <c r="H40" s="4">
        <f t="shared" si="1"/>
        <v>650.0331666666666</v>
      </c>
      <c r="I40">
        <f t="shared" si="2"/>
        <v>98037.243382238987</v>
      </c>
      <c r="J40">
        <f t="shared" si="3"/>
        <v>1048224.429789009</v>
      </c>
      <c r="K40">
        <f t="shared" si="4"/>
        <v>1.1502039170899117</v>
      </c>
      <c r="L40">
        <f t="shared" si="5"/>
        <v>5.6187131932166992</v>
      </c>
    </row>
    <row r="41" spans="1:12" x14ac:dyDescent="0.25">
      <c r="A41" s="2">
        <v>45069.625</v>
      </c>
      <c r="B41" s="3">
        <v>15</v>
      </c>
      <c r="C41" s="4">
        <v>74.575000000000003</v>
      </c>
      <c r="D41" s="4">
        <v>710.4171</v>
      </c>
      <c r="E41" s="4">
        <v>14.2171</v>
      </c>
      <c r="F41" s="4">
        <v>152.1498</v>
      </c>
      <c r="G41" s="4">
        <f t="shared" si="0"/>
        <v>296.80277777777775</v>
      </c>
      <c r="H41" s="4">
        <f t="shared" si="1"/>
        <v>650.04838888888889</v>
      </c>
      <c r="I41">
        <f t="shared" si="2"/>
        <v>98023.453867659002</v>
      </c>
      <c r="J41">
        <f t="shared" si="3"/>
        <v>1049035.9427220419</v>
      </c>
      <c r="K41">
        <f t="shared" si="4"/>
        <v>1.1507477725936415</v>
      </c>
      <c r="L41">
        <f t="shared" si="5"/>
        <v>5.6229314051856463</v>
      </c>
    </row>
    <row r="42" spans="1:12" x14ac:dyDescent="0.25">
      <c r="A42" s="2">
        <v>45069.666666666664</v>
      </c>
      <c r="B42" s="3">
        <v>16</v>
      </c>
      <c r="C42" s="4">
        <v>74.616799999999998</v>
      </c>
      <c r="D42" s="4">
        <v>710.58879999999999</v>
      </c>
      <c r="E42" s="4">
        <v>14.2155</v>
      </c>
      <c r="F42" s="4">
        <v>152.08709999999999</v>
      </c>
      <c r="G42" s="4">
        <f t="shared" si="0"/>
        <v>296.82599999999996</v>
      </c>
      <c r="H42" s="4">
        <f t="shared" si="1"/>
        <v>650.14377777777781</v>
      </c>
      <c r="I42">
        <f t="shared" si="2"/>
        <v>98012.422255994999</v>
      </c>
      <c r="J42">
        <f t="shared" si="3"/>
        <v>1048603.6414399589</v>
      </c>
      <c r="K42">
        <f t="shared" si="4"/>
        <v>1.1505282480513168</v>
      </c>
      <c r="L42">
        <f t="shared" si="5"/>
        <v>5.619789574881259</v>
      </c>
    </row>
    <row r="43" spans="1:12" x14ac:dyDescent="0.25">
      <c r="A43" s="2">
        <v>45069.708333333336</v>
      </c>
      <c r="B43" s="3">
        <v>17</v>
      </c>
      <c r="C43" s="4">
        <v>74.099000000000004</v>
      </c>
      <c r="D43" s="4">
        <v>710.25360000000001</v>
      </c>
      <c r="E43" s="4">
        <v>14.2043</v>
      </c>
      <c r="F43" s="4">
        <v>152.20009999999999</v>
      </c>
      <c r="G43" s="4">
        <f t="shared" si="0"/>
        <v>296.5383333333333</v>
      </c>
      <c r="H43" s="4">
        <f t="shared" si="1"/>
        <v>649.95755555555547</v>
      </c>
      <c r="I43">
        <f t="shared" si="2"/>
        <v>97935.200974346997</v>
      </c>
      <c r="J43">
        <f t="shared" si="3"/>
        <v>1049382.7490137289</v>
      </c>
      <c r="K43">
        <f t="shared" si="4"/>
        <v>1.1507370066499267</v>
      </c>
      <c r="L43">
        <f t="shared" si="5"/>
        <v>5.6255763992772385</v>
      </c>
    </row>
    <row r="44" spans="1:12" x14ac:dyDescent="0.25">
      <c r="A44" s="2">
        <v>45069.75</v>
      </c>
      <c r="B44" s="3">
        <v>18</v>
      </c>
      <c r="C44" s="4">
        <v>74.618200000000002</v>
      </c>
      <c r="D44" s="4">
        <v>710.51</v>
      </c>
      <c r="E44" s="4">
        <v>14.1722</v>
      </c>
      <c r="F44" s="4">
        <v>151.93129999999999</v>
      </c>
      <c r="G44" s="4">
        <f t="shared" si="0"/>
        <v>296.82677777777775</v>
      </c>
      <c r="H44" s="4">
        <f t="shared" si="1"/>
        <v>650.09999999999991</v>
      </c>
      <c r="I44">
        <f t="shared" si="2"/>
        <v>97713.879265337993</v>
      </c>
      <c r="J44">
        <f t="shared" si="3"/>
        <v>1047529.4382541769</v>
      </c>
      <c r="K44">
        <f t="shared" si="4"/>
        <v>1.1470207668774834</v>
      </c>
      <c r="L44">
        <f t="shared" si="5"/>
        <v>5.6144106388037702</v>
      </c>
    </row>
    <row r="45" spans="1:12" x14ac:dyDescent="0.25">
      <c r="A45" s="2">
        <v>45069.791666666664</v>
      </c>
      <c r="B45" s="3">
        <v>19</v>
      </c>
      <c r="C45" s="4">
        <v>73.996799999999993</v>
      </c>
      <c r="D45" s="4">
        <v>708.64949999999999</v>
      </c>
      <c r="E45" s="4">
        <v>14.1503</v>
      </c>
      <c r="F45" s="4">
        <v>152.09690000000001</v>
      </c>
      <c r="G45" s="4">
        <f t="shared" si="0"/>
        <v>296.48155555555553</v>
      </c>
      <c r="H45" s="4">
        <f t="shared" si="1"/>
        <v>649.06638888888892</v>
      </c>
      <c r="I45">
        <f t="shared" si="2"/>
        <v>97562.884080686985</v>
      </c>
      <c r="J45">
        <f t="shared" si="3"/>
        <v>1048671.2100614009</v>
      </c>
      <c r="K45">
        <f t="shared" si="4"/>
        <v>1.1465818236601175</v>
      </c>
      <c r="L45">
        <f t="shared" si="5"/>
        <v>5.6294806167997447</v>
      </c>
    </row>
    <row r="46" spans="1:12" x14ac:dyDescent="0.25">
      <c r="A46" s="2">
        <v>45069.833333333336</v>
      </c>
      <c r="B46" s="3">
        <v>20</v>
      </c>
      <c r="C46" s="4">
        <v>70.633300000000006</v>
      </c>
      <c r="D46" s="4">
        <v>705.79039999999998</v>
      </c>
      <c r="E46" s="4">
        <v>14.1511</v>
      </c>
      <c r="F46" s="4">
        <v>153.0848</v>
      </c>
      <c r="G46" s="4">
        <f t="shared" si="0"/>
        <v>294.61294444444445</v>
      </c>
      <c r="H46" s="4">
        <f t="shared" si="1"/>
        <v>647.47800000000007</v>
      </c>
      <c r="I46">
        <f t="shared" si="2"/>
        <v>97568.399886518993</v>
      </c>
      <c r="J46">
        <f t="shared" si="3"/>
        <v>1055482.5407881918</v>
      </c>
      <c r="K46">
        <f t="shared" si="4"/>
        <v>1.1539193640224981</v>
      </c>
      <c r="L46">
        <f t="shared" si="5"/>
        <v>5.6799451331804862</v>
      </c>
    </row>
    <row r="47" spans="1:12" x14ac:dyDescent="0.25">
      <c r="A47" s="2">
        <v>45069.875</v>
      </c>
      <c r="B47" s="3">
        <v>21</v>
      </c>
      <c r="C47" s="4">
        <v>68.452200000000005</v>
      </c>
      <c r="D47" s="4">
        <v>702.24710000000005</v>
      </c>
      <c r="E47" s="4">
        <v>14.1534</v>
      </c>
      <c r="F47" s="4">
        <v>153.935</v>
      </c>
      <c r="G47" s="4">
        <f t="shared" si="0"/>
        <v>293.4012222222222</v>
      </c>
      <c r="H47" s="4">
        <f t="shared" si="1"/>
        <v>645.5095</v>
      </c>
      <c r="I47">
        <f t="shared" si="2"/>
        <v>97584.25782828599</v>
      </c>
      <c r="J47">
        <f t="shared" si="3"/>
        <v>1061344.46343615</v>
      </c>
      <c r="K47">
        <f t="shared" si="4"/>
        <v>1.1588732762029865</v>
      </c>
      <c r="L47">
        <f t="shared" si="5"/>
        <v>5.7289076807237374</v>
      </c>
    </row>
    <row r="48" spans="1:12" x14ac:dyDescent="0.25">
      <c r="A48" s="2">
        <v>45069.916666666664</v>
      </c>
      <c r="B48" s="3">
        <v>22</v>
      </c>
      <c r="C48" s="4">
        <v>66.889399999999995</v>
      </c>
      <c r="D48" s="4">
        <v>700.39790000000005</v>
      </c>
      <c r="E48" s="4">
        <v>14.155900000000001</v>
      </c>
      <c r="F48" s="4">
        <v>154.51949999999999</v>
      </c>
      <c r="G48" s="4">
        <f t="shared" si="0"/>
        <v>292.53299999999996</v>
      </c>
      <c r="H48" s="4">
        <f t="shared" si="1"/>
        <v>644.48216666666667</v>
      </c>
      <c r="I48">
        <f t="shared" si="2"/>
        <v>97601.494721511001</v>
      </c>
      <c r="J48">
        <f t="shared" si="3"/>
        <v>1065374.4490721549</v>
      </c>
      <c r="K48">
        <f t="shared" si="4"/>
        <v>1.1625180560826929</v>
      </c>
      <c r="L48">
        <f t="shared" si="5"/>
        <v>5.7598274806074006</v>
      </c>
    </row>
    <row r="49" spans="1:12" x14ac:dyDescent="0.25">
      <c r="A49" s="2">
        <v>45069.958333333336</v>
      </c>
      <c r="B49" s="3">
        <v>23</v>
      </c>
      <c r="C49" s="4">
        <v>66.168199999999999</v>
      </c>
      <c r="D49" s="4">
        <v>697.44259999999997</v>
      </c>
      <c r="E49" s="4">
        <v>14.161899999999999</v>
      </c>
      <c r="F49" s="4">
        <v>154.77189999999999</v>
      </c>
      <c r="G49" s="4">
        <f t="shared" si="0"/>
        <v>292.13233333333329</v>
      </c>
      <c r="H49" s="4">
        <f t="shared" si="1"/>
        <v>642.84033333333332</v>
      </c>
      <c r="I49">
        <f t="shared" si="2"/>
        <v>97642.863265250984</v>
      </c>
      <c r="J49">
        <f t="shared" si="3"/>
        <v>1067114.6858121508</v>
      </c>
      <c r="K49">
        <f t="shared" si="4"/>
        <v>1.1646058890003905</v>
      </c>
      <c r="L49">
        <f t="shared" si="5"/>
        <v>5.7839706754183151</v>
      </c>
    </row>
    <row r="50" spans="1:12" x14ac:dyDescent="0.25">
      <c r="A50" s="2">
        <v>45070</v>
      </c>
      <c r="B50" s="3">
        <v>0</v>
      </c>
      <c r="C50" s="4">
        <v>64.407399999999996</v>
      </c>
      <c r="D50" s="4">
        <v>697.37199999999996</v>
      </c>
      <c r="E50" s="4">
        <v>14.1592</v>
      </c>
      <c r="F50" s="4">
        <v>155.23439999999999</v>
      </c>
      <c r="G50" s="4">
        <f t="shared" si="0"/>
        <v>291.15411111111109</v>
      </c>
      <c r="H50" s="4">
        <f t="shared" si="1"/>
        <v>642.80111111111114</v>
      </c>
      <c r="I50">
        <f t="shared" si="2"/>
        <v>97624.24742056799</v>
      </c>
      <c r="J50">
        <f t="shared" si="3"/>
        <v>1070303.5110587759</v>
      </c>
      <c r="K50">
        <f t="shared" si="4"/>
        <v>1.1682959615407609</v>
      </c>
      <c r="L50">
        <f t="shared" si="5"/>
        <v>5.8016087120493092</v>
      </c>
    </row>
    <row r="51" spans="1:12" x14ac:dyDescent="0.25">
      <c r="A51" s="2">
        <v>45070.041666666664</v>
      </c>
      <c r="B51" s="3">
        <v>1</v>
      </c>
      <c r="C51" s="4">
        <v>62.814</v>
      </c>
      <c r="D51" s="4">
        <v>686.90390000000002</v>
      </c>
      <c r="E51" s="4">
        <v>14.160600000000001</v>
      </c>
      <c r="F51" s="4">
        <v>153.0591</v>
      </c>
      <c r="G51" s="4">
        <f t="shared" si="0"/>
        <v>290.26888888888885</v>
      </c>
      <c r="H51" s="4">
        <f t="shared" si="1"/>
        <v>636.9855</v>
      </c>
      <c r="I51">
        <f t="shared" si="2"/>
        <v>97633.900080773994</v>
      </c>
      <c r="J51">
        <f t="shared" si="3"/>
        <v>1055305.3455258389</v>
      </c>
      <c r="K51">
        <f t="shared" si="4"/>
        <v>1.1719747385318675</v>
      </c>
      <c r="L51">
        <f t="shared" si="5"/>
        <v>5.7725365959603918</v>
      </c>
    </row>
    <row r="52" spans="1:12" x14ac:dyDescent="0.25">
      <c r="A52" s="2">
        <v>45070.083333333336</v>
      </c>
      <c r="B52" s="3">
        <v>2</v>
      </c>
      <c r="C52" s="4">
        <v>61.269399999999997</v>
      </c>
      <c r="D52" s="4">
        <v>678.86069999999995</v>
      </c>
      <c r="E52" s="4">
        <v>14.162100000000001</v>
      </c>
      <c r="F52" s="4">
        <v>151.1721</v>
      </c>
      <c r="G52" s="4">
        <f t="shared" si="0"/>
        <v>289.41077777777775</v>
      </c>
      <c r="H52" s="4">
        <f t="shared" si="1"/>
        <v>632.51705555555554</v>
      </c>
      <c r="I52">
        <f t="shared" si="2"/>
        <v>97644.242216708997</v>
      </c>
      <c r="J52">
        <f t="shared" si="3"/>
        <v>1042294.9385196089</v>
      </c>
      <c r="K52">
        <f t="shared" si="4"/>
        <v>1.1755741893537106</v>
      </c>
      <c r="L52">
        <f t="shared" si="5"/>
        <v>5.7416470423286672</v>
      </c>
    </row>
    <row r="53" spans="1:12" x14ac:dyDescent="0.25">
      <c r="A53" s="2">
        <v>45070.125</v>
      </c>
      <c r="B53" s="3">
        <v>3</v>
      </c>
      <c r="C53" s="4">
        <v>60.203699999999998</v>
      </c>
      <c r="D53" s="4">
        <v>678.91679999999997</v>
      </c>
      <c r="E53" s="4">
        <v>14.163</v>
      </c>
      <c r="F53" s="4">
        <v>152.0179</v>
      </c>
      <c r="G53" s="4">
        <f t="shared" si="0"/>
        <v>288.81872222222222</v>
      </c>
      <c r="H53" s="4">
        <f t="shared" si="1"/>
        <v>632.54822222222219</v>
      </c>
      <c r="I53">
        <f t="shared" si="2"/>
        <v>97650.44749826999</v>
      </c>
      <c r="J53">
        <f t="shared" si="3"/>
        <v>1048126.5242354909</v>
      </c>
      <c r="K53">
        <f t="shared" si="4"/>
        <v>1.1780588843013269</v>
      </c>
      <c r="L53">
        <f t="shared" si="5"/>
        <v>5.7734867745191707</v>
      </c>
    </row>
    <row r="54" spans="1:12" x14ac:dyDescent="0.25">
      <c r="A54" s="2">
        <v>45070.166666666664</v>
      </c>
      <c r="B54" s="3">
        <v>4</v>
      </c>
      <c r="C54" s="4">
        <v>57.979199999999999</v>
      </c>
      <c r="D54" s="4">
        <v>670.87950000000001</v>
      </c>
      <c r="E54" s="4">
        <v>14.157400000000001</v>
      </c>
      <c r="F54" s="4">
        <v>150.48769999999999</v>
      </c>
      <c r="G54" s="4">
        <f t="shared" si="0"/>
        <v>287.58288888888887</v>
      </c>
      <c r="H54" s="4">
        <f t="shared" si="1"/>
        <v>628.08305555555557</v>
      </c>
      <c r="I54">
        <f t="shared" si="2"/>
        <v>97611.836857446004</v>
      </c>
      <c r="J54">
        <f t="shared" si="3"/>
        <v>1037576.1666303328</v>
      </c>
      <c r="K54">
        <f t="shared" si="4"/>
        <v>1.1826535686144073</v>
      </c>
      <c r="L54">
        <f t="shared" si="5"/>
        <v>5.7560030244014406</v>
      </c>
    </row>
    <row r="55" spans="1:12" x14ac:dyDescent="0.25">
      <c r="A55" s="2">
        <v>45070.208333333336</v>
      </c>
      <c r="B55" s="3">
        <v>5</v>
      </c>
      <c r="C55" s="4">
        <v>56.561999999999998</v>
      </c>
      <c r="D55" s="4">
        <v>673.91949999999997</v>
      </c>
      <c r="E55" s="4">
        <v>14.1599</v>
      </c>
      <c r="F55" s="4">
        <v>152.82980000000001</v>
      </c>
      <c r="G55" s="4">
        <f t="shared" si="0"/>
        <v>286.79555555555555</v>
      </c>
      <c r="H55" s="4">
        <f t="shared" si="1"/>
        <v>629.77194444444444</v>
      </c>
      <c r="I55">
        <f t="shared" si="2"/>
        <v>97629.073750670999</v>
      </c>
      <c r="J55">
        <f t="shared" si="3"/>
        <v>1053724.3776792421</v>
      </c>
      <c r="K55">
        <f t="shared" si="4"/>
        <v>1.1861096941315787</v>
      </c>
      <c r="L55">
        <f t="shared" si="5"/>
        <v>5.829909610083277</v>
      </c>
    </row>
    <row r="56" spans="1:12" x14ac:dyDescent="0.25">
      <c r="A56" s="2">
        <v>45070.25</v>
      </c>
      <c r="B56" s="3">
        <v>6</v>
      </c>
      <c r="C56" s="4">
        <v>54.828299999999999</v>
      </c>
      <c r="D56" s="4">
        <v>684.04610000000002</v>
      </c>
      <c r="E56" s="4">
        <v>14.162599999999999</v>
      </c>
      <c r="F56" s="4">
        <v>157.71270000000001</v>
      </c>
      <c r="G56" s="4">
        <f t="shared" si="0"/>
        <v>285.83238888888889</v>
      </c>
      <c r="H56" s="4">
        <f t="shared" si="1"/>
        <v>635.39783333333332</v>
      </c>
      <c r="I56">
        <f t="shared" si="2"/>
        <v>97647.689595353993</v>
      </c>
      <c r="J56">
        <f t="shared" si="3"/>
        <v>1087390.7880505831</v>
      </c>
      <c r="K56">
        <f t="shared" si="4"/>
        <v>1.1903334453146228</v>
      </c>
      <c r="L56">
        <f t="shared" si="5"/>
        <v>5.9629068247761312</v>
      </c>
    </row>
    <row r="57" spans="1:12" x14ac:dyDescent="0.25">
      <c r="A57" s="2">
        <v>45070.291666666664</v>
      </c>
      <c r="B57" s="3">
        <v>7</v>
      </c>
      <c r="C57" s="4">
        <v>54.1952</v>
      </c>
      <c r="D57" s="4">
        <v>683.40909999999997</v>
      </c>
      <c r="E57" s="4">
        <v>14.1637</v>
      </c>
      <c r="F57" s="4">
        <v>158.26900000000001</v>
      </c>
      <c r="G57" s="4">
        <f t="shared" si="0"/>
        <v>285.48066666666665</v>
      </c>
      <c r="H57" s="4">
        <f t="shared" si="1"/>
        <v>635.04394444444438</v>
      </c>
      <c r="I57">
        <f t="shared" si="2"/>
        <v>97655.273828373</v>
      </c>
      <c r="J57">
        <f t="shared" si="3"/>
        <v>1091226.3415310099</v>
      </c>
      <c r="K57">
        <f t="shared" si="4"/>
        <v>1.1918925443204833</v>
      </c>
      <c r="L57">
        <f t="shared" si="5"/>
        <v>5.9872744365726884</v>
      </c>
    </row>
    <row r="58" spans="1:12" x14ac:dyDescent="0.25">
      <c r="A58" s="2">
        <v>45070.333333333336</v>
      </c>
      <c r="B58" s="3">
        <v>8</v>
      </c>
      <c r="C58" s="4">
        <v>54.643500000000003</v>
      </c>
      <c r="D58" s="4">
        <v>684.26110000000006</v>
      </c>
      <c r="E58" s="4">
        <v>14.1645</v>
      </c>
      <c r="F58" s="4">
        <v>158.07589999999999</v>
      </c>
      <c r="G58" s="4">
        <f t="shared" si="0"/>
        <v>285.72972222222222</v>
      </c>
      <c r="H58" s="4">
        <f t="shared" si="1"/>
        <v>635.51727777777774</v>
      </c>
      <c r="I58">
        <f t="shared" si="2"/>
        <v>97660.789634204993</v>
      </c>
      <c r="J58">
        <f t="shared" si="3"/>
        <v>1089894.9638983109</v>
      </c>
      <c r="K58">
        <f t="shared" si="4"/>
        <v>1.1909208966319702</v>
      </c>
      <c r="L58">
        <f t="shared" si="5"/>
        <v>5.9755156327079488</v>
      </c>
    </row>
    <row r="59" spans="1:12" x14ac:dyDescent="0.25">
      <c r="A59" s="2">
        <v>45070.375</v>
      </c>
      <c r="B59" s="3">
        <v>9</v>
      </c>
      <c r="C59" s="4">
        <v>58.548200000000001</v>
      </c>
      <c r="D59" s="4">
        <v>689.09799999999996</v>
      </c>
      <c r="E59" s="4">
        <v>14.1602</v>
      </c>
      <c r="F59" s="4">
        <v>156.84219999999999</v>
      </c>
      <c r="G59" s="4">
        <f t="shared" si="0"/>
        <v>287.899</v>
      </c>
      <c r="H59" s="4">
        <f t="shared" si="1"/>
        <v>638.20444444444433</v>
      </c>
      <c r="I59">
        <f t="shared" si="2"/>
        <v>97631.142177857997</v>
      </c>
      <c r="J59">
        <f t="shared" si="3"/>
        <v>1081388.9018296378</v>
      </c>
      <c r="K59">
        <f t="shared" si="4"/>
        <v>1.1815886673509302</v>
      </c>
      <c r="L59">
        <f t="shared" si="5"/>
        <v>5.9039162357571646</v>
      </c>
    </row>
    <row r="60" spans="1:12" x14ac:dyDescent="0.25">
      <c r="A60" s="2">
        <v>45070.416666666664</v>
      </c>
      <c r="B60" s="3">
        <v>10</v>
      </c>
      <c r="C60" s="4">
        <v>62.991500000000002</v>
      </c>
      <c r="D60" s="4">
        <v>695.48320000000001</v>
      </c>
      <c r="E60" s="4">
        <v>14.156000000000001</v>
      </c>
      <c r="F60" s="4">
        <v>155.34030000000001</v>
      </c>
      <c r="G60" s="4">
        <f t="shared" si="0"/>
        <v>290.36749999999995</v>
      </c>
      <c r="H60" s="4">
        <f t="shared" si="1"/>
        <v>641.75177777777776</v>
      </c>
      <c r="I60">
        <f t="shared" si="2"/>
        <v>97602.18419724</v>
      </c>
      <c r="J60">
        <f t="shared" si="3"/>
        <v>1071033.665855787</v>
      </c>
      <c r="K60">
        <f t="shared" si="4"/>
        <v>1.1711961457618185</v>
      </c>
      <c r="L60">
        <f t="shared" si="5"/>
        <v>5.8150592626777424</v>
      </c>
    </row>
    <row r="61" spans="1:12" x14ac:dyDescent="0.25">
      <c r="A61" s="2">
        <v>45070.458333333336</v>
      </c>
      <c r="B61" s="3">
        <v>11</v>
      </c>
      <c r="C61" s="4">
        <v>67.535700000000006</v>
      </c>
      <c r="D61" s="4">
        <v>701.25030000000004</v>
      </c>
      <c r="E61" s="4">
        <v>14.16</v>
      </c>
      <c r="F61" s="4">
        <v>153.76490000000001</v>
      </c>
      <c r="G61" s="4">
        <f t="shared" si="0"/>
        <v>292.89205555555554</v>
      </c>
      <c r="H61" s="4">
        <f t="shared" si="1"/>
        <v>644.95572222222222</v>
      </c>
      <c r="I61">
        <f t="shared" si="2"/>
        <v>97629.763226399999</v>
      </c>
      <c r="J61">
        <f t="shared" si="3"/>
        <v>1060171.6652211209</v>
      </c>
      <c r="K61">
        <f t="shared" si="4"/>
        <v>1.1614292179673982</v>
      </c>
      <c r="L61">
        <f t="shared" si="5"/>
        <v>5.7274907413364247</v>
      </c>
    </row>
    <row r="62" spans="1:12" x14ac:dyDescent="0.25">
      <c r="A62" s="2">
        <v>45070.5</v>
      </c>
      <c r="B62" s="3">
        <v>12</v>
      </c>
      <c r="C62" s="4">
        <v>71.738799999999998</v>
      </c>
      <c r="D62" s="4">
        <v>706.6069</v>
      </c>
      <c r="E62" s="4">
        <v>14.1579</v>
      </c>
      <c r="F62" s="4">
        <v>152.24019999999999</v>
      </c>
      <c r="G62" s="4">
        <f t="shared" si="0"/>
        <v>295.22711111111107</v>
      </c>
      <c r="H62" s="4">
        <f t="shared" si="1"/>
        <v>647.93161111111112</v>
      </c>
      <c r="I62">
        <f t="shared" si="2"/>
        <v>97615.284236090985</v>
      </c>
      <c r="J62">
        <f t="shared" si="3"/>
        <v>1049659.2287810578</v>
      </c>
      <c r="K62">
        <f t="shared" si="4"/>
        <v>1.1520721803261464</v>
      </c>
      <c r="L62">
        <f t="shared" si="5"/>
        <v>5.6446531801874196</v>
      </c>
    </row>
    <row r="63" spans="1:12" x14ac:dyDescent="0.25">
      <c r="A63" s="2">
        <v>45070.541666666664</v>
      </c>
      <c r="B63" s="3">
        <v>13</v>
      </c>
      <c r="C63" s="4">
        <v>75.596699999999998</v>
      </c>
      <c r="D63" s="4">
        <v>711.74839999999995</v>
      </c>
      <c r="E63" s="4">
        <v>14.112</v>
      </c>
      <c r="F63" s="4">
        <v>150.91739999999999</v>
      </c>
      <c r="G63" s="4">
        <f t="shared" si="0"/>
        <v>297.37038888888884</v>
      </c>
      <c r="H63" s="4">
        <f t="shared" si="1"/>
        <v>650.78800000000001</v>
      </c>
      <c r="I63">
        <f t="shared" si="2"/>
        <v>97298.814876479999</v>
      </c>
      <c r="J63">
        <f t="shared" si="3"/>
        <v>1040538.8438378458</v>
      </c>
      <c r="K63">
        <f t="shared" si="4"/>
        <v>1.1400605896249205</v>
      </c>
      <c r="L63">
        <f t="shared" si="5"/>
        <v>5.5710475369128263</v>
      </c>
    </row>
    <row r="64" spans="1:12" x14ac:dyDescent="0.25">
      <c r="A64" s="2">
        <v>45070.583333333336</v>
      </c>
      <c r="B64" s="3">
        <v>14</v>
      </c>
      <c r="C64" s="4">
        <v>76.8322</v>
      </c>
      <c r="D64" s="4">
        <v>713.5104</v>
      </c>
      <c r="E64" s="4">
        <v>14.090400000000001</v>
      </c>
      <c r="F64" s="4">
        <v>150.3477</v>
      </c>
      <c r="G64" s="4">
        <f t="shared" si="0"/>
        <v>298.05677777777777</v>
      </c>
      <c r="H64" s="4">
        <f t="shared" si="1"/>
        <v>651.76688888888884</v>
      </c>
      <c r="I64">
        <f t="shared" si="2"/>
        <v>97149.888119016003</v>
      </c>
      <c r="J64">
        <f t="shared" si="3"/>
        <v>1036610.900609733</v>
      </c>
      <c r="K64">
        <f t="shared" si="4"/>
        <v>1.1356941950954147</v>
      </c>
      <c r="L64">
        <f t="shared" si="5"/>
        <v>5.5416817464776038</v>
      </c>
    </row>
    <row r="65" spans="1:12" x14ac:dyDescent="0.25">
      <c r="A65" s="2">
        <v>45070.625</v>
      </c>
      <c r="B65" s="3">
        <v>15</v>
      </c>
      <c r="C65" s="4">
        <v>77.924000000000007</v>
      </c>
      <c r="D65" s="4">
        <v>713.95669999999996</v>
      </c>
      <c r="E65" s="4">
        <v>14.087899999999999</v>
      </c>
      <c r="F65" s="4">
        <v>149.86510000000001</v>
      </c>
      <c r="G65" s="4">
        <f t="shared" si="0"/>
        <v>298.6633333333333</v>
      </c>
      <c r="H65" s="4">
        <f t="shared" si="1"/>
        <v>652.01483333333329</v>
      </c>
      <c r="I65">
        <f t="shared" si="2"/>
        <v>97132.651225790993</v>
      </c>
      <c r="J65">
        <f t="shared" si="3"/>
        <v>1033283.490741579</v>
      </c>
      <c r="K65">
        <f t="shared" si="4"/>
        <v>1.1331866208428276</v>
      </c>
      <c r="L65">
        <f t="shared" si="5"/>
        <v>5.5217929477175662</v>
      </c>
    </row>
    <row r="66" spans="1:12" x14ac:dyDescent="0.25">
      <c r="A66" s="2">
        <v>45070.666666666664</v>
      </c>
      <c r="B66" s="3">
        <v>16</v>
      </c>
      <c r="C66" s="4">
        <v>78.494900000000001</v>
      </c>
      <c r="D66" s="4">
        <v>714.50210000000004</v>
      </c>
      <c r="E66" s="4">
        <v>14.0863</v>
      </c>
      <c r="F66" s="4">
        <v>149.55000000000001</v>
      </c>
      <c r="G66" s="4">
        <f t="shared" si="0"/>
        <v>298.98050000000001</v>
      </c>
      <c r="H66" s="4">
        <f t="shared" si="1"/>
        <v>652.31783333333328</v>
      </c>
      <c r="I66">
        <f t="shared" si="2"/>
        <v>97121.61961412699</v>
      </c>
      <c r="J66">
        <f t="shared" si="3"/>
        <v>1031110.9527195001</v>
      </c>
      <c r="K66">
        <f t="shared" si="4"/>
        <v>1.1318559431078343</v>
      </c>
      <c r="L66">
        <f t="shared" si="5"/>
        <v>5.5076235939407603</v>
      </c>
    </row>
    <row r="67" spans="1:12" x14ac:dyDescent="0.25">
      <c r="A67" s="2">
        <v>45070.708333333336</v>
      </c>
      <c r="B67" s="3">
        <v>17</v>
      </c>
      <c r="C67" s="4">
        <v>78.089600000000004</v>
      </c>
      <c r="D67" s="4">
        <v>714.50750000000005</v>
      </c>
      <c r="E67" s="4">
        <v>14.085699999999999</v>
      </c>
      <c r="F67" s="4">
        <v>149.56630000000001</v>
      </c>
      <c r="G67" s="4">
        <f t="shared" ref="G67:G121" si="6">(C67-32)*(5/9)+273.15</f>
        <v>298.75533333333334</v>
      </c>
      <c r="H67" s="4">
        <f t="shared" ref="H67:H121" si="7">(D67-32)*(5/9)+273.15</f>
        <v>652.32083333333344</v>
      </c>
      <c r="I67">
        <f t="shared" ref="I67:I121" si="8">E67*6894.75729</f>
        <v>97117.482759752995</v>
      </c>
      <c r="J67">
        <f t="shared" ref="J67:J121" si="9">F67*6894.75729</f>
        <v>1031223.337263327</v>
      </c>
      <c r="K67">
        <f t="shared" ref="K67:K121" si="10">I67/(287*G67)</f>
        <v>1.1326607558635937</v>
      </c>
      <c r="L67">
        <f t="shared" ref="L67:L121" si="11">J67/(287*H67)</f>
        <v>5.5081985578027925</v>
      </c>
    </row>
    <row r="68" spans="1:12" x14ac:dyDescent="0.25">
      <c r="A68" s="2">
        <v>45070.75</v>
      </c>
      <c r="B68" s="3">
        <v>18</v>
      </c>
      <c r="C68" s="4">
        <v>77.591700000000003</v>
      </c>
      <c r="D68" s="4">
        <v>714.49710000000005</v>
      </c>
      <c r="E68" s="4">
        <v>14.085699999999999</v>
      </c>
      <c r="F68" s="4">
        <v>149.738</v>
      </c>
      <c r="G68" s="4">
        <f t="shared" si="6"/>
        <v>298.47872222222219</v>
      </c>
      <c r="H68" s="4">
        <f t="shared" si="7"/>
        <v>652.31505555555555</v>
      </c>
      <c r="I68">
        <f t="shared" si="8"/>
        <v>97117.482759752995</v>
      </c>
      <c r="J68">
        <f t="shared" si="9"/>
        <v>1032407.1670900199</v>
      </c>
      <c r="K68">
        <f t="shared" si="10"/>
        <v>1.1337104338703166</v>
      </c>
      <c r="L68">
        <f t="shared" si="11"/>
        <v>5.5145707359604792</v>
      </c>
    </row>
    <row r="69" spans="1:12" x14ac:dyDescent="0.25">
      <c r="A69" s="2">
        <v>45070.791666666664</v>
      </c>
      <c r="B69" s="3">
        <v>19</v>
      </c>
      <c r="C69" s="4">
        <v>75.065399999999997</v>
      </c>
      <c r="D69" s="4">
        <v>710.07100000000003</v>
      </c>
      <c r="E69" s="4">
        <v>14.087400000000001</v>
      </c>
      <c r="F69" s="4">
        <v>150.6003</v>
      </c>
      <c r="G69" s="4">
        <f t="shared" si="6"/>
        <v>297.07522222222218</v>
      </c>
      <c r="H69" s="4">
        <f t="shared" si="7"/>
        <v>649.8561111111112</v>
      </c>
      <c r="I69">
        <f t="shared" si="8"/>
        <v>97129.203847145996</v>
      </c>
      <c r="J69">
        <f t="shared" si="9"/>
        <v>1038352.516301187</v>
      </c>
      <c r="K69">
        <f t="shared" si="10"/>
        <v>1.1392040008110014</v>
      </c>
      <c r="L69">
        <f t="shared" si="11"/>
        <v>5.567313989377018</v>
      </c>
    </row>
    <row r="70" spans="1:12" x14ac:dyDescent="0.25">
      <c r="A70" s="2">
        <v>45070.833333333336</v>
      </c>
      <c r="B70" s="3">
        <v>20</v>
      </c>
      <c r="C70" s="4">
        <v>68.986500000000007</v>
      </c>
      <c r="D70" s="4">
        <v>702.69110000000001</v>
      </c>
      <c r="E70" s="4">
        <v>14.0952</v>
      </c>
      <c r="F70" s="4">
        <v>152.7955</v>
      </c>
      <c r="G70" s="4">
        <f t="shared" si="6"/>
        <v>293.69805555555553</v>
      </c>
      <c r="H70" s="4">
        <f t="shared" si="7"/>
        <v>645.75616666666667</v>
      </c>
      <c r="I70">
        <f t="shared" si="8"/>
        <v>97182.982954007995</v>
      </c>
      <c r="J70">
        <f t="shared" si="9"/>
        <v>1053487.8875041949</v>
      </c>
      <c r="K70">
        <f t="shared" si="10"/>
        <v>1.1529414612720286</v>
      </c>
      <c r="L70">
        <f t="shared" si="11"/>
        <v>5.6843274489296709</v>
      </c>
    </row>
    <row r="71" spans="1:12" x14ac:dyDescent="0.25">
      <c r="A71" s="2">
        <v>45070.875</v>
      </c>
      <c r="B71" s="3">
        <v>21</v>
      </c>
      <c r="C71" s="4">
        <v>64.139300000000006</v>
      </c>
      <c r="D71" s="4">
        <v>696.17529999999999</v>
      </c>
      <c r="E71" s="4">
        <v>14.103400000000001</v>
      </c>
      <c r="F71" s="4">
        <v>154.70259999999999</v>
      </c>
      <c r="G71" s="4">
        <f t="shared" si="6"/>
        <v>291.00516666666664</v>
      </c>
      <c r="H71" s="4">
        <f t="shared" si="7"/>
        <v>642.13627777777776</v>
      </c>
      <c r="I71">
        <f t="shared" si="8"/>
        <v>97239.519963785991</v>
      </c>
      <c r="J71">
        <f t="shared" si="9"/>
        <v>1066636.8791319539</v>
      </c>
      <c r="K71">
        <f t="shared" si="10"/>
        <v>1.1642874327331101</v>
      </c>
      <c r="L71">
        <f t="shared" si="11"/>
        <v>5.7877197317046445</v>
      </c>
    </row>
    <row r="72" spans="1:12" x14ac:dyDescent="0.25">
      <c r="A72" s="2">
        <v>45070.916666666664</v>
      </c>
      <c r="B72" s="3">
        <v>22</v>
      </c>
      <c r="C72" s="4">
        <v>60.808599999999998</v>
      </c>
      <c r="D72" s="4">
        <v>693.77110000000005</v>
      </c>
      <c r="E72" s="4">
        <v>14.134399999999999</v>
      </c>
      <c r="F72" s="4">
        <v>155.9888</v>
      </c>
      <c r="G72" s="4">
        <f t="shared" si="6"/>
        <v>289.15477777777778</v>
      </c>
      <c r="H72" s="4">
        <f t="shared" si="7"/>
        <v>640.80061111111115</v>
      </c>
      <c r="I72">
        <f t="shared" si="8"/>
        <v>97453.257439775989</v>
      </c>
      <c r="J72">
        <f t="shared" si="9"/>
        <v>1075504.9159583519</v>
      </c>
      <c r="K72">
        <f t="shared" si="10"/>
        <v>1.1743136008385826</v>
      </c>
      <c r="L72">
        <f t="shared" si="11"/>
        <v>5.8480029877918591</v>
      </c>
    </row>
    <row r="73" spans="1:12" x14ac:dyDescent="0.25">
      <c r="A73" s="2">
        <v>45070.958333333336</v>
      </c>
      <c r="B73" s="3">
        <v>23</v>
      </c>
      <c r="C73" s="4">
        <v>58.310200000000002</v>
      </c>
      <c r="D73" s="4">
        <v>686.5883</v>
      </c>
      <c r="E73" s="4">
        <v>14.157400000000001</v>
      </c>
      <c r="F73" s="4">
        <v>155.81899999999999</v>
      </c>
      <c r="G73" s="4">
        <f t="shared" si="6"/>
        <v>287.76677777777775</v>
      </c>
      <c r="H73" s="4">
        <f t="shared" si="7"/>
        <v>636.81016666666665</v>
      </c>
      <c r="I73">
        <f t="shared" si="8"/>
        <v>97611.836857446004</v>
      </c>
      <c r="J73">
        <f t="shared" si="9"/>
        <v>1074334.1861705098</v>
      </c>
      <c r="K73">
        <f t="shared" si="10"/>
        <v>1.1818978286629356</v>
      </c>
      <c r="L73">
        <f t="shared" si="11"/>
        <v>5.8782426638753646</v>
      </c>
    </row>
    <row r="74" spans="1:12" x14ac:dyDescent="0.25">
      <c r="A74" s="2">
        <v>45071</v>
      </c>
      <c r="B74" s="3">
        <v>0</v>
      </c>
      <c r="C74" s="4">
        <v>55.539099999999998</v>
      </c>
      <c r="D74" s="4">
        <v>660.9144</v>
      </c>
      <c r="E74" s="4">
        <v>14.159700000000001</v>
      </c>
      <c r="F74" s="4">
        <v>147.63130000000001</v>
      </c>
      <c r="G74" s="4">
        <f t="shared" si="6"/>
        <v>286.22727777777777</v>
      </c>
      <c r="H74" s="4">
        <f t="shared" si="7"/>
        <v>622.54688888888882</v>
      </c>
      <c r="I74">
        <f t="shared" si="8"/>
        <v>97627.694799213001</v>
      </c>
      <c r="J74">
        <f t="shared" si="9"/>
        <v>1017881.981907177</v>
      </c>
      <c r="K74">
        <f t="shared" si="10"/>
        <v>1.1884478188465419</v>
      </c>
      <c r="L74">
        <f t="shared" si="11"/>
        <v>5.6969638399271636</v>
      </c>
    </row>
    <row r="75" spans="1:12" x14ac:dyDescent="0.25">
      <c r="A75" s="2">
        <v>45071.041666666664</v>
      </c>
      <c r="B75" s="3">
        <v>1</v>
      </c>
      <c r="C75" s="4">
        <v>53.338799999999999</v>
      </c>
      <c r="D75" s="4">
        <v>648.59820000000002</v>
      </c>
      <c r="E75" s="4">
        <v>14.162699999999999</v>
      </c>
      <c r="F75" s="4">
        <v>143.41900000000001</v>
      </c>
      <c r="G75" s="4">
        <f t="shared" si="6"/>
        <v>285.00488888888884</v>
      </c>
      <c r="H75" s="4">
        <f t="shared" si="7"/>
        <v>615.70455555555554</v>
      </c>
      <c r="I75">
        <f t="shared" si="8"/>
        <v>97648.379071082993</v>
      </c>
      <c r="J75">
        <f t="shared" si="9"/>
        <v>988839.19577451004</v>
      </c>
      <c r="K75">
        <f t="shared" si="10"/>
        <v>1.1937979587982468</v>
      </c>
      <c r="L75">
        <f t="shared" si="11"/>
        <v>5.5959188653094101</v>
      </c>
    </row>
    <row r="76" spans="1:12" x14ac:dyDescent="0.25">
      <c r="A76" s="2">
        <v>45071.083333333336</v>
      </c>
      <c r="B76" s="3">
        <v>2</v>
      </c>
      <c r="C76" s="4">
        <v>50.965499999999999</v>
      </c>
      <c r="D76" s="4">
        <v>633.67589999999996</v>
      </c>
      <c r="E76" s="4">
        <v>14.161099999999999</v>
      </c>
      <c r="F76" s="4">
        <v>137.16909999999999</v>
      </c>
      <c r="G76" s="4">
        <f t="shared" si="6"/>
        <v>283.68638888888887</v>
      </c>
      <c r="H76" s="4">
        <f t="shared" si="7"/>
        <v>607.41438888888888</v>
      </c>
      <c r="I76">
        <f t="shared" si="8"/>
        <v>97637.34745941899</v>
      </c>
      <c r="J76">
        <f t="shared" si="9"/>
        <v>945747.6521877388</v>
      </c>
      <c r="K76">
        <f t="shared" si="10"/>
        <v>1.1992109253610301</v>
      </c>
      <c r="L76">
        <f t="shared" si="11"/>
        <v>5.4251068907747744</v>
      </c>
    </row>
    <row r="77" spans="1:12" x14ac:dyDescent="0.25">
      <c r="A77" s="2">
        <v>45071.125</v>
      </c>
      <c r="B77" s="3">
        <v>3</v>
      </c>
      <c r="C77" s="4">
        <v>49.1783</v>
      </c>
      <c r="D77" s="4">
        <v>628.05089999999996</v>
      </c>
      <c r="E77" s="4">
        <v>14.154199999999999</v>
      </c>
      <c r="F77" s="4">
        <v>135.71</v>
      </c>
      <c r="G77" s="4">
        <f t="shared" si="6"/>
        <v>282.69349999999997</v>
      </c>
      <c r="H77" s="4">
        <f t="shared" si="7"/>
        <v>604.28938888888888</v>
      </c>
      <c r="I77">
        <f t="shared" si="8"/>
        <v>97589.773634117984</v>
      </c>
      <c r="J77">
        <f t="shared" si="9"/>
        <v>935687.51182589994</v>
      </c>
      <c r="K77">
        <f t="shared" si="10"/>
        <v>1.2028364800544715</v>
      </c>
      <c r="L77">
        <f t="shared" si="11"/>
        <v>5.3951555211609357</v>
      </c>
    </row>
    <row r="78" spans="1:12" x14ac:dyDescent="0.25">
      <c r="A78" s="2">
        <v>45071.166666666664</v>
      </c>
      <c r="B78" s="3">
        <v>4</v>
      </c>
      <c r="C78" s="4">
        <v>47.398099999999999</v>
      </c>
      <c r="D78" s="4">
        <v>621.29960000000005</v>
      </c>
      <c r="E78" s="4">
        <v>14.155200000000001</v>
      </c>
      <c r="F78" s="4">
        <v>133.334</v>
      </c>
      <c r="G78" s="4">
        <f t="shared" si="6"/>
        <v>281.7045</v>
      </c>
      <c r="H78" s="4">
        <f t="shared" si="7"/>
        <v>600.5386666666667</v>
      </c>
      <c r="I78">
        <f t="shared" si="8"/>
        <v>97596.668391407991</v>
      </c>
      <c r="J78">
        <f t="shared" si="9"/>
        <v>919305.56850485993</v>
      </c>
      <c r="K78">
        <f t="shared" si="10"/>
        <v>1.207144642768728</v>
      </c>
      <c r="L78">
        <f t="shared" si="11"/>
        <v>5.333803581269871</v>
      </c>
    </row>
    <row r="79" spans="1:12" x14ac:dyDescent="0.25">
      <c r="A79" s="2">
        <v>45071.208333333336</v>
      </c>
      <c r="B79" s="3">
        <v>5</v>
      </c>
      <c r="C79" s="4">
        <v>46.393099999999997</v>
      </c>
      <c r="D79" s="4">
        <v>618.62760000000003</v>
      </c>
      <c r="E79" s="4">
        <v>14.149699999999999</v>
      </c>
      <c r="F79" s="4">
        <v>132.6936</v>
      </c>
      <c r="G79" s="4">
        <f t="shared" si="6"/>
        <v>281.14616666666666</v>
      </c>
      <c r="H79" s="4">
        <f t="shared" si="7"/>
        <v>599.05422222222228</v>
      </c>
      <c r="I79">
        <f t="shared" si="8"/>
        <v>97558.747226312989</v>
      </c>
      <c r="J79">
        <f t="shared" si="9"/>
        <v>914890.16593634395</v>
      </c>
      <c r="K79">
        <f t="shared" si="10"/>
        <v>1.2090719662088178</v>
      </c>
      <c r="L79">
        <f t="shared" si="11"/>
        <v>5.3213390286999767</v>
      </c>
    </row>
    <row r="80" spans="1:12" x14ac:dyDescent="0.25">
      <c r="A80" s="2">
        <v>45071.25</v>
      </c>
      <c r="B80" s="3">
        <v>6</v>
      </c>
      <c r="C80" s="4">
        <v>45.308100000000003</v>
      </c>
      <c r="D80" s="4">
        <v>623.34140000000002</v>
      </c>
      <c r="E80" s="4">
        <v>14.148400000000001</v>
      </c>
      <c r="F80" s="4">
        <v>136.94560000000001</v>
      </c>
      <c r="G80" s="4">
        <f t="shared" si="6"/>
        <v>280.54338888888884</v>
      </c>
      <c r="H80" s="4">
        <f t="shared" si="7"/>
        <v>601.673</v>
      </c>
      <c r="I80">
        <f t="shared" si="8"/>
        <v>97549.784041835999</v>
      </c>
      <c r="J80">
        <f t="shared" si="9"/>
        <v>944206.67393342406</v>
      </c>
      <c r="K80">
        <f t="shared" si="10"/>
        <v>1.2115584660967453</v>
      </c>
      <c r="L80">
        <f t="shared" si="11"/>
        <v>5.4679514030157641</v>
      </c>
    </row>
    <row r="81" spans="1:12" x14ac:dyDescent="0.25">
      <c r="A81" s="2">
        <v>45071.291666666664</v>
      </c>
      <c r="B81" s="3">
        <v>7</v>
      </c>
      <c r="C81" s="4">
        <v>44.354799999999997</v>
      </c>
      <c r="D81" s="4">
        <v>627.79520000000002</v>
      </c>
      <c r="E81" s="4">
        <v>14.177099999999999</v>
      </c>
      <c r="F81" s="4">
        <v>140.80879999999999</v>
      </c>
      <c r="G81" s="4">
        <f t="shared" si="6"/>
        <v>280.01377777777776</v>
      </c>
      <c r="H81" s="4">
        <f t="shared" si="7"/>
        <v>604.14733333333334</v>
      </c>
      <c r="I81">
        <f t="shared" si="8"/>
        <v>97747.663576058985</v>
      </c>
      <c r="J81">
        <f t="shared" si="9"/>
        <v>970842.50029615185</v>
      </c>
      <c r="K81">
        <f t="shared" si="10"/>
        <v>1.2163122698737219</v>
      </c>
      <c r="L81">
        <f t="shared" si="11"/>
        <v>5.5991747297868697</v>
      </c>
    </row>
    <row r="82" spans="1:12" x14ac:dyDescent="0.25">
      <c r="A82" s="2">
        <v>45071.333333333336</v>
      </c>
      <c r="B82" s="3">
        <v>8</v>
      </c>
      <c r="C82" s="4">
        <v>45.364199999999997</v>
      </c>
      <c r="D82" s="4">
        <v>644.77319999999997</v>
      </c>
      <c r="E82" s="4">
        <v>14.208500000000001</v>
      </c>
      <c r="F82" s="4">
        <v>149.29769999999999</v>
      </c>
      <c r="G82" s="4">
        <f t="shared" si="6"/>
        <v>280.57455555555555</v>
      </c>
      <c r="H82" s="4">
        <f t="shared" si="7"/>
        <v>613.57955555555554</v>
      </c>
      <c r="I82">
        <f t="shared" si="8"/>
        <v>97964.158954964994</v>
      </c>
      <c r="J82">
        <f t="shared" si="9"/>
        <v>1029371.4054552328</v>
      </c>
      <c r="K82">
        <f t="shared" si="10"/>
        <v>1.2165698071525295</v>
      </c>
      <c r="L82">
        <f t="shared" si="11"/>
        <v>5.8454684756793869</v>
      </c>
    </row>
    <row r="83" spans="1:12" x14ac:dyDescent="0.25">
      <c r="A83" s="2">
        <v>45071.375</v>
      </c>
      <c r="B83" s="3">
        <v>9</v>
      </c>
      <c r="C83" s="4">
        <v>47.732399999999998</v>
      </c>
      <c r="D83" s="4">
        <v>674.2423</v>
      </c>
      <c r="E83" s="4">
        <v>14.210699999999999</v>
      </c>
      <c r="F83" s="4">
        <v>159.73840000000001</v>
      </c>
      <c r="G83" s="4">
        <f t="shared" si="6"/>
        <v>281.89022222222218</v>
      </c>
      <c r="H83" s="4">
        <f t="shared" si="7"/>
        <v>629.9512777777777</v>
      </c>
      <c r="I83">
        <f t="shared" si="8"/>
        <v>97979.327421002992</v>
      </c>
      <c r="J83">
        <f t="shared" si="9"/>
        <v>1101357.497892936</v>
      </c>
      <c r="K83">
        <f t="shared" si="10"/>
        <v>1.2110791997355694</v>
      </c>
      <c r="L83">
        <f t="shared" si="11"/>
        <v>6.0917132902605848</v>
      </c>
    </row>
    <row r="84" spans="1:12" x14ac:dyDescent="0.25">
      <c r="A84" s="2">
        <v>45071.416666666664</v>
      </c>
      <c r="B84" s="3">
        <v>10</v>
      </c>
      <c r="C84" s="4">
        <v>51.101100000000002</v>
      </c>
      <c r="D84" s="4">
        <v>681.61220000000003</v>
      </c>
      <c r="E84" s="4">
        <v>14.2156</v>
      </c>
      <c r="F84" s="4">
        <v>159.80520000000001</v>
      </c>
      <c r="G84" s="4">
        <f t="shared" si="6"/>
        <v>283.7617222222222</v>
      </c>
      <c r="H84" s="4">
        <f t="shared" si="7"/>
        <v>634.04566666666665</v>
      </c>
      <c r="I84">
        <f t="shared" si="8"/>
        <v>98013.111731723999</v>
      </c>
      <c r="J84">
        <f t="shared" si="9"/>
        <v>1101818.0676799081</v>
      </c>
      <c r="K84">
        <f t="shared" si="10"/>
        <v>1.2035065809302168</v>
      </c>
      <c r="L84">
        <f t="shared" si="11"/>
        <v>6.0549066820619641</v>
      </c>
    </row>
    <row r="85" spans="1:12" x14ac:dyDescent="0.25">
      <c r="A85" s="2">
        <v>45071.458333333336</v>
      </c>
      <c r="B85" s="3">
        <v>11</v>
      </c>
      <c r="C85" s="4">
        <v>54.4206</v>
      </c>
      <c r="D85" s="4">
        <v>685.74059999999997</v>
      </c>
      <c r="E85" s="4">
        <v>14.2225</v>
      </c>
      <c r="F85" s="4">
        <v>158.88120000000001</v>
      </c>
      <c r="G85" s="4">
        <f t="shared" si="6"/>
        <v>285.60588888888884</v>
      </c>
      <c r="H85" s="4">
        <f t="shared" si="7"/>
        <v>636.33922222222213</v>
      </c>
      <c r="I85">
        <f t="shared" si="8"/>
        <v>98060.68555702499</v>
      </c>
      <c r="J85">
        <f t="shared" si="9"/>
        <v>1095447.311943948</v>
      </c>
      <c r="K85">
        <f t="shared" si="10"/>
        <v>1.1963158879435967</v>
      </c>
      <c r="L85">
        <f t="shared" si="11"/>
        <v>5.998199474999419</v>
      </c>
    </row>
    <row r="86" spans="1:12" x14ac:dyDescent="0.25">
      <c r="A86" s="2">
        <v>45071.5</v>
      </c>
      <c r="B86" s="3">
        <v>12</v>
      </c>
      <c r="C86" s="4">
        <v>58.0351</v>
      </c>
      <c r="D86" s="4">
        <v>690.94860000000006</v>
      </c>
      <c r="E86" s="4">
        <v>14.226000000000001</v>
      </c>
      <c r="F86" s="4">
        <v>157.75579999999999</v>
      </c>
      <c r="G86" s="4">
        <f t="shared" si="6"/>
        <v>287.61394444444443</v>
      </c>
      <c r="H86" s="4">
        <f t="shared" si="7"/>
        <v>639.23255555555556</v>
      </c>
      <c r="I86">
        <f t="shared" si="8"/>
        <v>98084.817207539993</v>
      </c>
      <c r="J86">
        <f t="shared" si="9"/>
        <v>1087687.9520897819</v>
      </c>
      <c r="K86">
        <f t="shared" si="10"/>
        <v>1.1882558254751838</v>
      </c>
      <c r="L86">
        <f t="shared" si="11"/>
        <v>5.9287554406678717</v>
      </c>
    </row>
    <row r="87" spans="1:12" x14ac:dyDescent="0.25">
      <c r="A87" s="2">
        <v>45071.541666666664</v>
      </c>
      <c r="B87" s="3">
        <v>13</v>
      </c>
      <c r="C87" s="4">
        <v>61.123800000000003</v>
      </c>
      <c r="D87" s="4">
        <v>694.8279</v>
      </c>
      <c r="E87" s="4">
        <v>14.2143</v>
      </c>
      <c r="F87" s="4">
        <v>156.65729999999999</v>
      </c>
      <c r="G87" s="4">
        <f t="shared" si="6"/>
        <v>289.32988888888889</v>
      </c>
      <c r="H87" s="4">
        <f t="shared" si="7"/>
        <v>641.38772222222224</v>
      </c>
      <c r="I87">
        <f t="shared" si="8"/>
        <v>98004.148547246994</v>
      </c>
      <c r="J87">
        <f t="shared" si="9"/>
        <v>1080114.0612067168</v>
      </c>
      <c r="K87">
        <f t="shared" si="10"/>
        <v>1.180237101717964</v>
      </c>
      <c r="L87">
        <f t="shared" si="11"/>
        <v>5.8676889149961582</v>
      </c>
    </row>
    <row r="88" spans="1:12" x14ac:dyDescent="0.25">
      <c r="A88" s="2">
        <v>45071.583333333336</v>
      </c>
      <c r="B88" s="3">
        <v>14</v>
      </c>
      <c r="C88" s="4">
        <v>64.325599999999994</v>
      </c>
      <c r="D88" s="4">
        <v>698.54629999999997</v>
      </c>
      <c r="E88" s="4">
        <v>14.176399999999999</v>
      </c>
      <c r="F88" s="4">
        <v>155.46520000000001</v>
      </c>
      <c r="G88" s="4">
        <f t="shared" si="6"/>
        <v>291.10866666666664</v>
      </c>
      <c r="H88" s="4">
        <f t="shared" si="7"/>
        <v>643.45349999999996</v>
      </c>
      <c r="I88">
        <f t="shared" si="8"/>
        <v>97742.837245955991</v>
      </c>
      <c r="J88">
        <f t="shared" si="9"/>
        <v>1071894.8210413081</v>
      </c>
      <c r="K88">
        <f t="shared" si="10"/>
        <v>1.1698977603905407</v>
      </c>
      <c r="L88">
        <f t="shared" si="11"/>
        <v>5.8043435313082874</v>
      </c>
    </row>
    <row r="89" spans="1:12" x14ac:dyDescent="0.25">
      <c r="A89" s="2">
        <v>45071.625</v>
      </c>
      <c r="B89" s="3">
        <v>15</v>
      </c>
      <c r="C89" s="4">
        <v>67.520399999999995</v>
      </c>
      <c r="D89" s="4">
        <v>702.52549999999997</v>
      </c>
      <c r="E89" s="4">
        <v>14.167899999999999</v>
      </c>
      <c r="F89" s="4">
        <v>154.38659999999999</v>
      </c>
      <c r="G89" s="4">
        <f t="shared" si="6"/>
        <v>292.88355555555552</v>
      </c>
      <c r="H89" s="4">
        <f t="shared" si="7"/>
        <v>645.66416666666669</v>
      </c>
      <c r="I89">
        <f t="shared" si="8"/>
        <v>97684.231808990997</v>
      </c>
      <c r="J89">
        <f t="shared" si="9"/>
        <v>1064458.1358283139</v>
      </c>
      <c r="K89">
        <f t="shared" si="10"/>
        <v>1.1621109160232459</v>
      </c>
      <c r="L89">
        <f t="shared" si="11"/>
        <v>5.7443382438323054</v>
      </c>
    </row>
    <row r="90" spans="1:12" x14ac:dyDescent="0.25">
      <c r="A90" s="2">
        <v>45071.666666666664</v>
      </c>
      <c r="B90" s="3">
        <v>16</v>
      </c>
      <c r="C90" s="4">
        <v>69.455699999999993</v>
      </c>
      <c r="D90" s="4">
        <v>705.98239999999998</v>
      </c>
      <c r="E90" s="4">
        <v>14.158899999999999</v>
      </c>
      <c r="F90" s="4">
        <v>153.66380000000001</v>
      </c>
      <c r="G90" s="4">
        <f t="shared" si="6"/>
        <v>293.95872222222221</v>
      </c>
      <c r="H90" s="4">
        <f t="shared" si="7"/>
        <v>647.58466666666664</v>
      </c>
      <c r="I90">
        <f t="shared" si="8"/>
        <v>97622.178993380992</v>
      </c>
      <c r="J90">
        <f t="shared" si="9"/>
        <v>1059474.6052591021</v>
      </c>
      <c r="K90">
        <f t="shared" si="10"/>
        <v>1.1571249274807802</v>
      </c>
      <c r="L90">
        <f t="shared" si="11"/>
        <v>5.700488812136161</v>
      </c>
    </row>
    <row r="91" spans="1:12" x14ac:dyDescent="0.25">
      <c r="A91" s="2">
        <v>45071.708333333336</v>
      </c>
      <c r="B91" s="3">
        <v>17</v>
      </c>
      <c r="C91" s="4">
        <v>69.937899999999999</v>
      </c>
      <c r="D91" s="4">
        <v>706.44259999999997</v>
      </c>
      <c r="E91" s="4">
        <v>14.156000000000001</v>
      </c>
      <c r="F91" s="4">
        <v>153.3629</v>
      </c>
      <c r="G91" s="4">
        <f t="shared" si="6"/>
        <v>294.22661111111108</v>
      </c>
      <c r="H91" s="4">
        <f t="shared" si="7"/>
        <v>647.84033333333332</v>
      </c>
      <c r="I91">
        <f t="shared" si="8"/>
        <v>97602.18419724</v>
      </c>
      <c r="J91">
        <f t="shared" si="9"/>
        <v>1057399.9727905409</v>
      </c>
      <c r="K91">
        <f t="shared" si="10"/>
        <v>1.1558345982718359</v>
      </c>
      <c r="L91">
        <f t="shared" si="11"/>
        <v>5.6870810184476701</v>
      </c>
    </row>
    <row r="92" spans="1:12" x14ac:dyDescent="0.25">
      <c r="A92" s="2">
        <v>45071.75</v>
      </c>
      <c r="B92" s="3">
        <v>18</v>
      </c>
      <c r="C92" s="4">
        <v>69.759</v>
      </c>
      <c r="D92" s="4">
        <v>706.40539999999999</v>
      </c>
      <c r="E92" s="4">
        <v>14.1652</v>
      </c>
      <c r="F92" s="4">
        <v>153.4169</v>
      </c>
      <c r="G92" s="4">
        <f t="shared" si="6"/>
        <v>294.1272222222222</v>
      </c>
      <c r="H92" s="4">
        <f t="shared" si="7"/>
        <v>647.81966666666665</v>
      </c>
      <c r="I92">
        <f t="shared" si="8"/>
        <v>97665.615964308003</v>
      </c>
      <c r="J92">
        <f t="shared" si="9"/>
        <v>1057772.2896842009</v>
      </c>
      <c r="K92">
        <f t="shared" si="10"/>
        <v>1.1569765997632886</v>
      </c>
      <c r="L92">
        <f t="shared" si="11"/>
        <v>5.6892649663686639</v>
      </c>
    </row>
    <row r="93" spans="1:12" x14ac:dyDescent="0.25">
      <c r="A93" s="2">
        <v>45071.791666666664</v>
      </c>
      <c r="B93" s="3">
        <v>19</v>
      </c>
      <c r="C93" s="4">
        <v>67.893500000000003</v>
      </c>
      <c r="D93" s="4">
        <v>702.1318</v>
      </c>
      <c r="E93" s="4">
        <v>14.167899999999999</v>
      </c>
      <c r="F93" s="4">
        <v>154.07820000000001</v>
      </c>
      <c r="G93" s="4">
        <f t="shared" si="6"/>
        <v>293.09083333333331</v>
      </c>
      <c r="H93" s="4">
        <f t="shared" si="7"/>
        <v>645.44544444444443</v>
      </c>
      <c r="I93">
        <f t="shared" si="8"/>
        <v>97684.231808990997</v>
      </c>
      <c r="J93">
        <f t="shared" si="9"/>
        <v>1062331.792680078</v>
      </c>
      <c r="K93">
        <f t="shared" si="10"/>
        <v>1.1612890555594946</v>
      </c>
      <c r="L93">
        <f t="shared" si="11"/>
        <v>5.7348061497246654</v>
      </c>
    </row>
    <row r="94" spans="1:12" x14ac:dyDescent="0.25">
      <c r="A94" s="2">
        <v>45071.833333333336</v>
      </c>
      <c r="B94" s="3">
        <v>20</v>
      </c>
      <c r="C94" s="4">
        <v>66.382800000000003</v>
      </c>
      <c r="D94" s="4">
        <v>692.80909999999994</v>
      </c>
      <c r="E94" s="4">
        <v>14.164199999999999</v>
      </c>
      <c r="F94" s="4">
        <v>151.19130000000001</v>
      </c>
      <c r="G94" s="4">
        <f t="shared" si="6"/>
        <v>292.25155555555551</v>
      </c>
      <c r="H94" s="4">
        <f t="shared" si="7"/>
        <v>640.26616666666655</v>
      </c>
      <c r="I94">
        <f t="shared" si="8"/>
        <v>97658.721207017981</v>
      </c>
      <c r="J94">
        <f t="shared" si="9"/>
        <v>1042427.317859577</v>
      </c>
      <c r="K94">
        <f t="shared" si="10"/>
        <v>1.1643198588732195</v>
      </c>
      <c r="L94">
        <f t="shared" si="11"/>
        <v>5.6728765666601131</v>
      </c>
    </row>
    <row r="95" spans="1:12" x14ac:dyDescent="0.25">
      <c r="A95" s="2">
        <v>45071.875</v>
      </c>
      <c r="B95" s="3">
        <v>21</v>
      </c>
      <c r="C95" s="4">
        <v>63.8339</v>
      </c>
      <c r="D95" s="4">
        <v>678.577</v>
      </c>
      <c r="E95" s="4">
        <v>14.1594</v>
      </c>
      <c r="F95" s="4">
        <v>148.30459999999999</v>
      </c>
      <c r="G95" s="4">
        <f t="shared" si="6"/>
        <v>290.83549999999997</v>
      </c>
      <c r="H95" s="4">
        <f t="shared" si="7"/>
        <v>632.35944444444442</v>
      </c>
      <c r="I95">
        <f t="shared" si="8"/>
        <v>97625.626372025989</v>
      </c>
      <c r="J95">
        <f t="shared" si="9"/>
        <v>1022524.2219905339</v>
      </c>
      <c r="K95">
        <f t="shared" si="10"/>
        <v>1.1695923534300796</v>
      </c>
      <c r="L95">
        <f t="shared" si="11"/>
        <v>5.6341408332162768</v>
      </c>
    </row>
    <row r="96" spans="1:12" x14ac:dyDescent="0.25">
      <c r="A96" s="2">
        <v>45071.916666666664</v>
      </c>
      <c r="B96" s="3">
        <v>22</v>
      </c>
      <c r="C96" s="4">
        <v>60.691200000000002</v>
      </c>
      <c r="D96" s="4">
        <v>672.83130000000006</v>
      </c>
      <c r="E96" s="4">
        <v>14.165800000000001</v>
      </c>
      <c r="F96" s="4">
        <v>148.75049999999999</v>
      </c>
      <c r="G96" s="4">
        <f t="shared" si="6"/>
        <v>289.08955555555553</v>
      </c>
      <c r="H96" s="4">
        <f t="shared" si="7"/>
        <v>629.16738888888892</v>
      </c>
      <c r="I96">
        <f t="shared" si="8"/>
        <v>97669.752818681998</v>
      </c>
      <c r="J96">
        <f t="shared" si="9"/>
        <v>1025598.5942661449</v>
      </c>
      <c r="K96">
        <f t="shared" si="10"/>
        <v>1.1771879026803069</v>
      </c>
      <c r="L96">
        <f t="shared" si="11"/>
        <v>5.6797512535519861</v>
      </c>
    </row>
    <row r="97" spans="1:12" x14ac:dyDescent="0.25">
      <c r="A97" s="2">
        <v>45071.958333333336</v>
      </c>
      <c r="B97" s="3">
        <v>23</v>
      </c>
      <c r="C97" s="4">
        <v>58.1036</v>
      </c>
      <c r="D97" s="4">
        <v>669.62</v>
      </c>
      <c r="E97" s="4">
        <v>14.2156</v>
      </c>
      <c r="F97" s="4">
        <v>149.798</v>
      </c>
      <c r="G97" s="4">
        <f t="shared" si="6"/>
        <v>287.65199999999999</v>
      </c>
      <c r="H97" s="4">
        <f t="shared" si="7"/>
        <v>627.38333333333333</v>
      </c>
      <c r="I97">
        <f t="shared" si="8"/>
        <v>98013.111731723999</v>
      </c>
      <c r="J97">
        <f t="shared" si="9"/>
        <v>1032820.8525274199</v>
      </c>
      <c r="K97">
        <f t="shared" si="10"/>
        <v>1.1872300561460953</v>
      </c>
      <c r="L97">
        <f t="shared" si="11"/>
        <v>5.7360129564598497</v>
      </c>
    </row>
    <row r="98" spans="1:12" x14ac:dyDescent="0.25">
      <c r="A98" s="2">
        <v>45072</v>
      </c>
      <c r="B98" s="3">
        <v>0</v>
      </c>
      <c r="C98" s="4">
        <v>55.776699999999998</v>
      </c>
      <c r="D98" s="4">
        <v>648.02980000000002</v>
      </c>
      <c r="E98" s="4">
        <v>14.2239</v>
      </c>
      <c r="F98" s="4">
        <v>140.9246</v>
      </c>
      <c r="G98" s="4">
        <f t="shared" si="6"/>
        <v>286.35927777777778</v>
      </c>
      <c r="H98" s="4">
        <f t="shared" si="7"/>
        <v>615.3887777777777</v>
      </c>
      <c r="I98">
        <f t="shared" si="8"/>
        <v>98070.338217230994</v>
      </c>
      <c r="J98">
        <f t="shared" si="9"/>
        <v>971640.91319033387</v>
      </c>
      <c r="K98">
        <f t="shared" si="10"/>
        <v>1.1932859245286831</v>
      </c>
      <c r="L98">
        <f t="shared" si="11"/>
        <v>5.5014139525814141</v>
      </c>
    </row>
    <row r="99" spans="1:12" x14ac:dyDescent="0.25">
      <c r="A99" s="2">
        <v>45072.041666666664</v>
      </c>
      <c r="B99" s="3">
        <v>1</v>
      </c>
      <c r="C99" s="4">
        <v>53.494</v>
      </c>
      <c r="D99" s="4">
        <v>641.07339999999999</v>
      </c>
      <c r="E99" s="4">
        <v>14.219200000000001</v>
      </c>
      <c r="F99" s="4">
        <v>139.4864</v>
      </c>
      <c r="G99" s="4">
        <f t="shared" si="6"/>
        <v>285.0911111111111</v>
      </c>
      <c r="H99" s="4">
        <f t="shared" si="7"/>
        <v>611.5241111111111</v>
      </c>
      <c r="I99">
        <f t="shared" si="8"/>
        <v>98037.932857968</v>
      </c>
      <c r="J99">
        <f t="shared" si="9"/>
        <v>961724.87325585599</v>
      </c>
      <c r="K99">
        <f t="shared" si="10"/>
        <v>1.1981979499102502</v>
      </c>
      <c r="L99">
        <f t="shared" si="11"/>
        <v>5.4796821346055316</v>
      </c>
    </row>
    <row r="100" spans="1:12" x14ac:dyDescent="0.25">
      <c r="A100" s="2">
        <v>45072.083333333336</v>
      </c>
      <c r="B100" s="3">
        <v>2</v>
      </c>
      <c r="C100" s="4">
        <v>51.560099999999998</v>
      </c>
      <c r="D100" s="4">
        <v>628.32150000000001</v>
      </c>
      <c r="E100" s="4">
        <v>14.216699999999999</v>
      </c>
      <c r="F100" s="4">
        <v>133.65199999999999</v>
      </c>
      <c r="G100" s="4">
        <f t="shared" si="6"/>
        <v>284.0167222222222</v>
      </c>
      <c r="H100" s="4">
        <f t="shared" si="7"/>
        <v>604.43972222222214</v>
      </c>
      <c r="I100">
        <f t="shared" si="8"/>
        <v>98020.69596474299</v>
      </c>
      <c r="J100">
        <f t="shared" si="9"/>
        <v>921498.1013230799</v>
      </c>
      <c r="K100">
        <f t="shared" si="10"/>
        <v>1.2025190747125483</v>
      </c>
      <c r="L100">
        <f t="shared" si="11"/>
        <v>5.3120181551349965</v>
      </c>
    </row>
    <row r="101" spans="1:12" x14ac:dyDescent="0.25">
      <c r="A101" s="2">
        <v>45072.125</v>
      </c>
      <c r="B101" s="3">
        <v>3</v>
      </c>
      <c r="C101" s="4">
        <v>49.624899999999997</v>
      </c>
      <c r="D101" s="4">
        <v>624.92470000000003</v>
      </c>
      <c r="E101" s="4">
        <v>14.2134</v>
      </c>
      <c r="F101" s="4">
        <v>133.65600000000001</v>
      </c>
      <c r="G101" s="4">
        <f t="shared" si="6"/>
        <v>282.94161111111111</v>
      </c>
      <c r="H101" s="4">
        <f t="shared" si="7"/>
        <v>602.5526111111111</v>
      </c>
      <c r="I101">
        <f t="shared" si="8"/>
        <v>97997.943265686001</v>
      </c>
      <c r="J101">
        <f t="shared" si="9"/>
        <v>921525.68035223999</v>
      </c>
      <c r="K101">
        <f t="shared" si="10"/>
        <v>1.2068081713806491</v>
      </c>
      <c r="L101">
        <f t="shared" si="11"/>
        <v>5.3288141368876518</v>
      </c>
    </row>
    <row r="102" spans="1:12" x14ac:dyDescent="0.25">
      <c r="A102" s="2">
        <v>45072.166666666664</v>
      </c>
      <c r="B102" s="3">
        <v>4</v>
      </c>
      <c r="C102" s="4">
        <v>48.280299999999997</v>
      </c>
      <c r="D102" s="4">
        <v>623.28700000000003</v>
      </c>
      <c r="E102" s="4">
        <v>14.2111</v>
      </c>
      <c r="F102" s="4">
        <v>134.02350000000001</v>
      </c>
      <c r="G102" s="4">
        <f t="shared" si="6"/>
        <v>282.1946111111111</v>
      </c>
      <c r="H102" s="4">
        <f t="shared" si="7"/>
        <v>601.64277777777784</v>
      </c>
      <c r="I102">
        <f t="shared" si="8"/>
        <v>97982.085323918989</v>
      </c>
      <c r="J102">
        <f t="shared" si="9"/>
        <v>924059.50365631504</v>
      </c>
      <c r="K102">
        <f t="shared" si="10"/>
        <v>1.209806923015881</v>
      </c>
      <c r="L102">
        <f t="shared" si="11"/>
        <v>5.3515468710972005</v>
      </c>
    </row>
    <row r="103" spans="1:12" x14ac:dyDescent="0.25">
      <c r="A103" s="2">
        <v>45072.208333333336</v>
      </c>
      <c r="B103" s="3">
        <v>5</v>
      </c>
      <c r="C103" s="4">
        <v>47.304699999999997</v>
      </c>
      <c r="D103" s="4">
        <v>619.60919999999999</v>
      </c>
      <c r="E103" s="4">
        <v>14.2141</v>
      </c>
      <c r="F103" s="4">
        <v>132.541</v>
      </c>
      <c r="G103" s="4">
        <f t="shared" si="6"/>
        <v>281.65261111111107</v>
      </c>
      <c r="H103" s="4">
        <f t="shared" si="7"/>
        <v>599.59955555555553</v>
      </c>
      <c r="I103">
        <f t="shared" si="8"/>
        <v>98002.769595788996</v>
      </c>
      <c r="J103">
        <f t="shared" si="9"/>
        <v>913838.02597388998</v>
      </c>
      <c r="K103">
        <f t="shared" si="10"/>
        <v>1.2123909075317603</v>
      </c>
      <c r="L103">
        <f t="shared" si="11"/>
        <v>5.3103852239648006</v>
      </c>
    </row>
    <row r="104" spans="1:12" x14ac:dyDescent="0.25">
      <c r="A104" s="2">
        <v>45072.25</v>
      </c>
      <c r="B104" s="3">
        <v>6</v>
      </c>
      <c r="C104" s="4">
        <v>43.872</v>
      </c>
      <c r="D104" s="4">
        <v>618.65909999999997</v>
      </c>
      <c r="E104" s="4">
        <v>14.213800000000001</v>
      </c>
      <c r="F104" s="4">
        <v>135.7927</v>
      </c>
      <c r="G104" s="4">
        <f t="shared" si="6"/>
        <v>279.74555555555554</v>
      </c>
      <c r="H104" s="4">
        <f t="shared" si="7"/>
        <v>599.07172222222221</v>
      </c>
      <c r="I104">
        <f t="shared" si="8"/>
        <v>98000.701168601998</v>
      </c>
      <c r="J104">
        <f t="shared" si="9"/>
        <v>936257.70825378294</v>
      </c>
      <c r="K104">
        <f t="shared" si="10"/>
        <v>1.2206301438898384</v>
      </c>
      <c r="L104">
        <f t="shared" si="11"/>
        <v>5.445461468081505</v>
      </c>
    </row>
    <row r="105" spans="1:12" x14ac:dyDescent="0.25">
      <c r="A105" s="2">
        <v>45072.291666666664</v>
      </c>
      <c r="B105" s="3">
        <v>7</v>
      </c>
      <c r="C105" s="4">
        <v>43.717500000000001</v>
      </c>
      <c r="D105" s="4">
        <v>621.19629999999995</v>
      </c>
      <c r="E105" s="4">
        <v>14.2088</v>
      </c>
      <c r="F105" s="4">
        <v>137.6559</v>
      </c>
      <c r="G105" s="4">
        <f t="shared" si="6"/>
        <v>279.65972222222217</v>
      </c>
      <c r="H105" s="4">
        <f t="shared" si="7"/>
        <v>600.48127777777768</v>
      </c>
      <c r="I105">
        <f t="shared" si="8"/>
        <v>97966.227382151992</v>
      </c>
      <c r="J105">
        <f t="shared" si="9"/>
        <v>949104.02003651101</v>
      </c>
      <c r="K105">
        <f t="shared" si="10"/>
        <v>1.2205752665958072</v>
      </c>
      <c r="L105">
        <f t="shared" si="11"/>
        <v>5.5072202424846743</v>
      </c>
    </row>
    <row r="106" spans="1:12" x14ac:dyDescent="0.25">
      <c r="A106" s="2">
        <v>45072.333333333336</v>
      </c>
      <c r="B106" s="3">
        <v>8</v>
      </c>
      <c r="C106" s="4">
        <v>47.099400000000003</v>
      </c>
      <c r="D106" s="4">
        <v>641.87840000000006</v>
      </c>
      <c r="E106" s="4">
        <v>14.216200000000001</v>
      </c>
      <c r="F106" s="4">
        <v>146.43039999999999</v>
      </c>
      <c r="G106" s="4">
        <f t="shared" si="6"/>
        <v>281.53855555555555</v>
      </c>
      <c r="H106" s="4">
        <f t="shared" si="7"/>
        <v>611.9713333333334</v>
      </c>
      <c r="I106">
        <f t="shared" si="8"/>
        <v>98017.248586097994</v>
      </c>
      <c r="J106">
        <f t="shared" si="9"/>
        <v>1009602.0678776159</v>
      </c>
      <c r="K106">
        <f t="shared" si="10"/>
        <v>1.2130612575011346</v>
      </c>
      <c r="L106">
        <f t="shared" si="11"/>
        <v>5.7482712806673284</v>
      </c>
    </row>
    <row r="107" spans="1:12" x14ac:dyDescent="0.25">
      <c r="A107" s="2">
        <v>45072.375</v>
      </c>
      <c r="B107" s="3">
        <v>9</v>
      </c>
      <c r="C107" s="4">
        <v>49.697000000000003</v>
      </c>
      <c r="D107" s="4">
        <v>676.65700000000004</v>
      </c>
      <c r="E107" s="4">
        <v>14.238899999999999</v>
      </c>
      <c r="F107" s="4">
        <v>159.56010000000001</v>
      </c>
      <c r="G107" s="4">
        <f t="shared" si="6"/>
        <v>282.98166666666663</v>
      </c>
      <c r="H107" s="4">
        <f t="shared" si="7"/>
        <v>631.29277777777781</v>
      </c>
      <c r="I107">
        <f t="shared" si="8"/>
        <v>98173.759576580982</v>
      </c>
      <c r="J107">
        <f t="shared" si="9"/>
        <v>1100128.162668129</v>
      </c>
      <c r="K107">
        <f t="shared" si="10"/>
        <v>1.2088021557305424</v>
      </c>
      <c r="L107">
        <f t="shared" si="11"/>
        <v>6.0719832508665448</v>
      </c>
    </row>
    <row r="108" spans="1:12" x14ac:dyDescent="0.25">
      <c r="A108" s="2">
        <v>45072.416666666664</v>
      </c>
      <c r="B108" s="3">
        <v>10</v>
      </c>
      <c r="C108" s="4">
        <v>53.6554</v>
      </c>
      <c r="D108" s="4">
        <v>684.48249999999996</v>
      </c>
      <c r="E108" s="4">
        <v>14.2684</v>
      </c>
      <c r="F108" s="4">
        <v>159.61019999999999</v>
      </c>
      <c r="G108" s="4">
        <f t="shared" si="6"/>
        <v>285.18077777777773</v>
      </c>
      <c r="H108" s="4">
        <f t="shared" si="7"/>
        <v>635.64027777777778</v>
      </c>
      <c r="I108">
        <f t="shared" si="8"/>
        <v>98377.154916635991</v>
      </c>
      <c r="J108">
        <f t="shared" si="9"/>
        <v>1100473.5900083578</v>
      </c>
      <c r="K108">
        <f t="shared" si="10"/>
        <v>1.2019658054605755</v>
      </c>
      <c r="L108">
        <f t="shared" si="11"/>
        <v>6.0323470470555725</v>
      </c>
    </row>
    <row r="109" spans="1:12" x14ac:dyDescent="0.25">
      <c r="A109" s="2">
        <v>45072.458333333336</v>
      </c>
      <c r="B109" s="3">
        <v>11</v>
      </c>
      <c r="C109" s="4">
        <v>59.194899999999997</v>
      </c>
      <c r="D109" s="4">
        <v>691.76139999999998</v>
      </c>
      <c r="E109" s="4">
        <v>14.27</v>
      </c>
      <c r="F109" s="4">
        <v>157.89009999999999</v>
      </c>
      <c r="G109" s="4">
        <f t="shared" si="6"/>
        <v>288.25827777777778</v>
      </c>
      <c r="H109" s="4">
        <f t="shared" si="7"/>
        <v>639.68411111111118</v>
      </c>
      <c r="I109">
        <f t="shared" si="8"/>
        <v>98388.186528299993</v>
      </c>
      <c r="J109">
        <f t="shared" si="9"/>
        <v>1088613.9179938289</v>
      </c>
      <c r="K109">
        <f t="shared" si="10"/>
        <v>1.1892667352960622</v>
      </c>
      <c r="L109">
        <f t="shared" si="11"/>
        <v>5.9296139887679473</v>
      </c>
    </row>
    <row r="110" spans="1:12" x14ac:dyDescent="0.25">
      <c r="A110" s="2">
        <v>45072.5</v>
      </c>
      <c r="B110" s="3">
        <v>12</v>
      </c>
      <c r="C110" s="4">
        <v>63.7395</v>
      </c>
      <c r="D110" s="4">
        <v>698.09140000000002</v>
      </c>
      <c r="E110" s="4">
        <v>14.2379</v>
      </c>
      <c r="F110" s="4">
        <v>156.375</v>
      </c>
      <c r="G110" s="4">
        <f t="shared" si="6"/>
        <v>290.78305555555551</v>
      </c>
      <c r="H110" s="4">
        <f t="shared" si="7"/>
        <v>643.20077777777783</v>
      </c>
      <c r="I110">
        <f t="shared" si="8"/>
        <v>98166.86481929099</v>
      </c>
      <c r="J110">
        <f t="shared" si="9"/>
        <v>1078167.6712237499</v>
      </c>
      <c r="K110">
        <f t="shared" si="10"/>
        <v>1.1762887094670298</v>
      </c>
      <c r="L110">
        <f t="shared" si="11"/>
        <v>5.8406051594753094</v>
      </c>
    </row>
    <row r="111" spans="1:12" x14ac:dyDescent="0.25">
      <c r="A111" s="2">
        <v>45072.541666666664</v>
      </c>
      <c r="B111" s="3">
        <v>13</v>
      </c>
      <c r="C111" s="4">
        <v>66.808599999999998</v>
      </c>
      <c r="D111" s="4">
        <v>701.36659999999995</v>
      </c>
      <c r="E111" s="4">
        <v>14.223599999999999</v>
      </c>
      <c r="F111" s="4">
        <v>155.18780000000001</v>
      </c>
      <c r="G111" s="4">
        <f t="shared" si="6"/>
        <v>292.4881111111111</v>
      </c>
      <c r="H111" s="4">
        <f t="shared" si="7"/>
        <v>645.02033333333338</v>
      </c>
      <c r="I111">
        <f t="shared" si="8"/>
        <v>98068.269790043996</v>
      </c>
      <c r="J111">
        <f t="shared" si="9"/>
        <v>1069982.215369062</v>
      </c>
      <c r="K111">
        <f t="shared" si="10"/>
        <v>1.1682570179313918</v>
      </c>
      <c r="L111">
        <f t="shared" si="11"/>
        <v>5.7799124097284187</v>
      </c>
    </row>
    <row r="112" spans="1:12" x14ac:dyDescent="0.25">
      <c r="A112" s="2">
        <v>45072.583333333336</v>
      </c>
      <c r="B112" s="3">
        <v>14</v>
      </c>
      <c r="C112" s="4">
        <v>68.470600000000005</v>
      </c>
      <c r="D112" s="4">
        <v>703.9171</v>
      </c>
      <c r="E112" s="4">
        <v>14.2233</v>
      </c>
      <c r="F112" s="4">
        <v>154.5949</v>
      </c>
      <c r="G112" s="4">
        <f t="shared" si="6"/>
        <v>293.41144444444444</v>
      </c>
      <c r="H112" s="4">
        <f t="shared" si="7"/>
        <v>646.43727777777781</v>
      </c>
      <c r="I112">
        <f t="shared" si="8"/>
        <v>98066.201362856998</v>
      </c>
      <c r="J112">
        <f t="shared" si="9"/>
        <v>1065894.3137718209</v>
      </c>
      <c r="K112">
        <f t="shared" si="10"/>
        <v>1.1645560794353422</v>
      </c>
      <c r="L112">
        <f t="shared" si="11"/>
        <v>5.7452093145917535</v>
      </c>
    </row>
    <row r="113" spans="1:12" x14ac:dyDescent="0.25">
      <c r="A113" s="2">
        <v>45072.625</v>
      </c>
      <c r="B113" s="3">
        <v>15</v>
      </c>
      <c r="C113" s="4">
        <v>71.921899999999994</v>
      </c>
      <c r="D113" s="4">
        <v>708.58960000000002</v>
      </c>
      <c r="E113" s="4">
        <v>14.2188</v>
      </c>
      <c r="F113" s="4">
        <v>153.3998</v>
      </c>
      <c r="G113" s="4">
        <f t="shared" si="6"/>
        <v>295.32883333333331</v>
      </c>
      <c r="H113" s="4">
        <f t="shared" si="7"/>
        <v>649.03311111111111</v>
      </c>
      <c r="I113">
        <f t="shared" si="8"/>
        <v>98035.174955051989</v>
      </c>
      <c r="J113">
        <f t="shared" si="9"/>
        <v>1057654.389334542</v>
      </c>
      <c r="K113">
        <f t="shared" si="10"/>
        <v>1.1566292786170314</v>
      </c>
      <c r="L113">
        <f t="shared" si="11"/>
        <v>5.6779952646335055</v>
      </c>
    </row>
    <row r="114" spans="1:12" x14ac:dyDescent="0.25">
      <c r="A114" s="2">
        <v>45072.666666666664</v>
      </c>
      <c r="B114" s="3">
        <v>16</v>
      </c>
      <c r="C114" s="4">
        <v>74.179000000000002</v>
      </c>
      <c r="D114" s="4">
        <v>710.83410000000003</v>
      </c>
      <c r="E114" s="4">
        <v>14.221500000000001</v>
      </c>
      <c r="F114" s="4">
        <v>152.60919999999999</v>
      </c>
      <c r="G114" s="4">
        <f t="shared" si="6"/>
        <v>296.58277777777778</v>
      </c>
      <c r="H114" s="4">
        <f t="shared" si="7"/>
        <v>650.28005555555558</v>
      </c>
      <c r="I114">
        <f t="shared" si="8"/>
        <v>98053.790799734998</v>
      </c>
      <c r="J114">
        <f t="shared" si="9"/>
        <v>1052203.3942210679</v>
      </c>
      <c r="K114">
        <f t="shared" si="10"/>
        <v>1.1519577825232237</v>
      </c>
      <c r="L114">
        <f t="shared" si="11"/>
        <v>5.6378999875898259</v>
      </c>
    </row>
    <row r="115" spans="1:12" x14ac:dyDescent="0.25">
      <c r="A115" s="2">
        <v>45072.708333333336</v>
      </c>
      <c r="B115" s="3">
        <v>17</v>
      </c>
      <c r="C115" s="4">
        <v>75.331900000000005</v>
      </c>
      <c r="D115" s="4">
        <v>712.15610000000004</v>
      </c>
      <c r="E115" s="4">
        <v>14.23</v>
      </c>
      <c r="F115" s="4">
        <v>152.1541</v>
      </c>
      <c r="G115" s="4">
        <f t="shared" si="6"/>
        <v>297.22327777777775</v>
      </c>
      <c r="H115" s="4">
        <f t="shared" si="7"/>
        <v>651.0145</v>
      </c>
      <c r="I115">
        <f t="shared" si="8"/>
        <v>98112.396236699991</v>
      </c>
      <c r="J115">
        <f t="shared" si="9"/>
        <v>1049065.5901783889</v>
      </c>
      <c r="K115">
        <f t="shared" si="10"/>
        <v>1.1501624021785279</v>
      </c>
      <c r="L115">
        <f t="shared" si="11"/>
        <v>5.6147456040000527</v>
      </c>
    </row>
    <row r="116" spans="1:12" x14ac:dyDescent="0.25">
      <c r="A116" s="2">
        <v>45072.75</v>
      </c>
      <c r="B116" s="3">
        <v>18</v>
      </c>
      <c r="C116" s="4">
        <v>75.129000000000005</v>
      </c>
      <c r="D116" s="4">
        <v>711.71500000000003</v>
      </c>
      <c r="E116" s="4">
        <v>14.229799999999999</v>
      </c>
      <c r="F116" s="4">
        <v>152.1893</v>
      </c>
      <c r="G116" s="4">
        <f t="shared" si="6"/>
        <v>297.11055555555555</v>
      </c>
      <c r="H116" s="4">
        <f t="shared" si="7"/>
        <v>650.76944444444439</v>
      </c>
      <c r="I116">
        <f t="shared" si="8"/>
        <v>98111.017285241993</v>
      </c>
      <c r="J116">
        <f t="shared" si="9"/>
        <v>1049308.2856349971</v>
      </c>
      <c r="K116">
        <f t="shared" si="10"/>
        <v>1.1505825964484477</v>
      </c>
      <c r="L116">
        <f t="shared" si="11"/>
        <v>5.6181593373751006</v>
      </c>
    </row>
    <row r="117" spans="1:12" x14ac:dyDescent="0.25">
      <c r="A117" s="2">
        <v>45072.791666666664</v>
      </c>
      <c r="B117" s="3">
        <v>19</v>
      </c>
      <c r="C117" s="4">
        <v>74.830399999999997</v>
      </c>
      <c r="D117" s="4">
        <v>710.87599999999998</v>
      </c>
      <c r="E117" s="4">
        <v>14.224299999999999</v>
      </c>
      <c r="F117" s="4">
        <v>152.29429999999999</v>
      </c>
      <c r="G117" s="4">
        <f t="shared" si="6"/>
        <v>296.94466666666665</v>
      </c>
      <c r="H117" s="4">
        <f t="shared" si="7"/>
        <v>650.30333333333328</v>
      </c>
      <c r="I117">
        <f t="shared" si="8"/>
        <v>98073.096120146991</v>
      </c>
      <c r="J117">
        <f t="shared" si="9"/>
        <v>1050032.2351504469</v>
      </c>
      <c r="K117">
        <f t="shared" si="10"/>
        <v>1.1507804089704055</v>
      </c>
      <c r="L117">
        <f t="shared" si="11"/>
        <v>5.6260651228860841</v>
      </c>
    </row>
    <row r="118" spans="1:12" x14ac:dyDescent="0.25">
      <c r="A118" s="2">
        <v>45072.833333333336</v>
      </c>
      <c r="B118" s="3">
        <v>20</v>
      </c>
      <c r="C118" s="4">
        <v>73.141900000000007</v>
      </c>
      <c r="D118" s="4">
        <v>710.351</v>
      </c>
      <c r="E118" s="4">
        <v>14.223699999999999</v>
      </c>
      <c r="F118" s="4">
        <v>152.8587</v>
      </c>
      <c r="G118" s="4">
        <f t="shared" si="6"/>
        <v>296.00661111111111</v>
      </c>
      <c r="H118" s="4">
        <f t="shared" si="7"/>
        <v>650.01166666666666</v>
      </c>
      <c r="I118">
        <f t="shared" si="8"/>
        <v>98068.959265772981</v>
      </c>
      <c r="J118">
        <f t="shared" si="9"/>
        <v>1053923.636164923</v>
      </c>
      <c r="K118">
        <f t="shared" si="10"/>
        <v>1.154378578028598</v>
      </c>
      <c r="L118">
        <f t="shared" si="11"/>
        <v>5.6494490481177175</v>
      </c>
    </row>
    <row r="119" spans="1:12" x14ac:dyDescent="0.25">
      <c r="A119" s="2">
        <v>45072.875</v>
      </c>
      <c r="B119" s="3">
        <v>21</v>
      </c>
      <c r="C119" s="4">
        <v>69.805700000000002</v>
      </c>
      <c r="D119" s="4">
        <v>705.58519999999999</v>
      </c>
      <c r="E119" s="4">
        <v>14.225</v>
      </c>
      <c r="F119" s="4">
        <v>153.8253</v>
      </c>
      <c r="G119" s="4">
        <f t="shared" si="6"/>
        <v>294.15316666666666</v>
      </c>
      <c r="H119" s="4">
        <f t="shared" si="7"/>
        <v>647.36400000000003</v>
      </c>
      <c r="I119">
        <f t="shared" si="8"/>
        <v>98077.922450249986</v>
      </c>
      <c r="J119">
        <f t="shared" si="9"/>
        <v>1060588.1085614369</v>
      </c>
      <c r="K119">
        <f t="shared" si="10"/>
        <v>1.1617584311669005</v>
      </c>
      <c r="L119">
        <f t="shared" si="11"/>
        <v>5.7084251668171495</v>
      </c>
    </row>
    <row r="120" spans="1:12" x14ac:dyDescent="0.25">
      <c r="A120" s="2">
        <v>45072.916666666664</v>
      </c>
      <c r="B120" s="3">
        <v>22</v>
      </c>
      <c r="C120" s="4">
        <v>65.614900000000006</v>
      </c>
      <c r="D120" s="4">
        <v>699.93889999999999</v>
      </c>
      <c r="E120" s="4">
        <v>14.224399999999999</v>
      </c>
      <c r="F120" s="4">
        <v>155.44499999999999</v>
      </c>
      <c r="G120" s="4">
        <f t="shared" si="6"/>
        <v>291.82494444444444</v>
      </c>
      <c r="H120" s="4">
        <f t="shared" si="7"/>
        <v>644.22716666666668</v>
      </c>
      <c r="I120">
        <f t="shared" si="8"/>
        <v>98073.78559587599</v>
      </c>
      <c r="J120">
        <f t="shared" si="9"/>
        <v>1071755.5469440499</v>
      </c>
      <c r="K120">
        <f t="shared" si="10"/>
        <v>1.1709777173203852</v>
      </c>
      <c r="L120">
        <f t="shared" si="11"/>
        <v>5.7966196988316074</v>
      </c>
    </row>
    <row r="121" spans="1:12" x14ac:dyDescent="0.25">
      <c r="A121" s="2">
        <v>45072.958333333336</v>
      </c>
      <c r="B121" s="3">
        <v>23</v>
      </c>
      <c r="C121" s="4">
        <v>61.580800000000004</v>
      </c>
      <c r="D121" s="4">
        <v>681.20989999999995</v>
      </c>
      <c r="E121" s="4">
        <v>14.224</v>
      </c>
      <c r="F121" s="4">
        <v>151.8108</v>
      </c>
      <c r="G121" s="4">
        <f t="shared" si="6"/>
        <v>289.58377777777775</v>
      </c>
      <c r="H121" s="4">
        <f t="shared" si="7"/>
        <v>633.82216666666659</v>
      </c>
      <c r="I121">
        <f t="shared" si="8"/>
        <v>98071.027692959993</v>
      </c>
      <c r="J121">
        <f t="shared" si="9"/>
        <v>1046698.6200007319</v>
      </c>
      <c r="K121">
        <f t="shared" si="10"/>
        <v>1.1800070449633469</v>
      </c>
      <c r="L121">
        <f t="shared" si="11"/>
        <v>5.754032772861863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O'Connor, Jacqueline Antonia</cp:lastModifiedBy>
  <dcterms:created xsi:type="dcterms:W3CDTF">2023-06-05T23:04:38Z</dcterms:created>
  <dcterms:modified xsi:type="dcterms:W3CDTF">2023-06-07T16:32:32Z</dcterms:modified>
</cp:coreProperties>
</file>