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xo22_psu_edu/Documents/Box Migration Data/Classes/ME300 - Summer 2023/Homework/"/>
    </mc:Choice>
  </mc:AlternateContent>
  <xr:revisionPtr revIDLastSave="0" documentId="8_{A247D9D7-FB62-4E8C-88A0-23B51C1C51E6}" xr6:coauthVersionLast="47" xr6:coauthVersionMax="47" xr10:uidLastSave="{00000000-0000-0000-0000-000000000000}"/>
  <bookViews>
    <workbookView xWindow="-120" yWindow="-120" windowWidth="29040" windowHeight="15720" xr2:uid="{56299E3F-33F7-449F-A5BA-09D26D01A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14" i="1"/>
  <c r="D15" i="1"/>
  <c r="D16" i="1"/>
  <c r="D4" i="1"/>
  <c r="D5" i="1"/>
  <c r="D6" i="1"/>
  <c r="D7" i="1"/>
  <c r="D8" i="1"/>
  <c r="D9" i="1"/>
  <c r="D10" i="1"/>
  <c r="D11" i="1"/>
  <c r="D12" i="1" s="1"/>
  <c r="D13" i="1" s="1"/>
  <c r="D3" i="1"/>
  <c r="B3" i="1"/>
  <c r="B4" i="1"/>
  <c r="B5" i="1"/>
  <c r="B6" i="1"/>
  <c r="B7" i="1"/>
  <c r="B8" i="1"/>
  <c r="B9" i="1"/>
  <c r="B10" i="1"/>
  <c r="B11" i="1"/>
  <c r="B12" i="1"/>
  <c r="B2" i="1"/>
  <c r="A11" i="1"/>
  <c r="A12" i="1"/>
  <c r="A4" i="1"/>
  <c r="A5" i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<sst xmlns="http://schemas.openxmlformats.org/spreadsheetml/2006/main" count="4" uniqueCount="4">
  <si>
    <t>P1</t>
  </si>
  <si>
    <t>P2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</si>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</sst>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after Isentropic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2.9437791958005026</c:v>
                </c:pt>
                <c:pt idx="1">
                  <c:v>3.2381571153805528</c:v>
                </c:pt>
                <c:pt idx="2">
                  <c:v>3.5325350349606031</c:v>
                </c:pt>
                <c:pt idx="3">
                  <c:v>3.8269129545406533</c:v>
                </c:pt>
                <c:pt idx="4">
                  <c:v>4.1212908741207039</c:v>
                </c:pt>
                <c:pt idx="5">
                  <c:v>4.4156687937007542</c:v>
                </c:pt>
                <c:pt idx="6">
                  <c:v>4.7100467132808053</c:v>
                </c:pt>
                <c:pt idx="7">
                  <c:v>5.0044246328608555</c:v>
                </c:pt>
                <c:pt idx="8">
                  <c:v>5.2988025524409057</c:v>
                </c:pt>
                <c:pt idx="9">
                  <c:v>5.5931804720209568</c:v>
                </c:pt>
                <c:pt idx="10">
                  <c:v>5.887558391601007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0-4134-A59E-A0BB3203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684543"/>
        <c:axId val="1586988159"/>
      </c:scatterChart>
      <c:valAx>
        <c:axId val="1755684543"/>
        <c:scaling>
          <c:orientation val="minMax"/>
          <c:max val="0.2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 Pressure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88159"/>
        <c:crosses val="autoZero"/>
        <c:crossBetween val="midCat"/>
      </c:valAx>
      <c:valAx>
        <c:axId val="15869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Pressure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8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after Isentropic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Initial Temperature [K]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Sheet1!$D$2:$D$16</c:f>
              <c:numCache>
                <c:formatCode>General</c:formatCode>
                <c:ptCount val="15"/>
                <c:pt idx="0">
                  <c:v>280</c:v>
                </c:pt>
                <c:pt idx="1">
                  <c:v>285</c:v>
                </c:pt>
                <c:pt idx="2">
                  <c:v>290</c:v>
                </c:pt>
                <c:pt idx="3">
                  <c:v>295</c:v>
                </c:pt>
                <c:pt idx="4">
                  <c:v>300</c:v>
                </c:pt>
                <c:pt idx="5">
                  <c:v>305</c:v>
                </c:pt>
                <c:pt idx="6">
                  <c:v>310</c:v>
                </c:pt>
                <c:pt idx="7">
                  <c:v>315</c:v>
                </c:pt>
                <c:pt idx="8">
                  <c:v>320</c:v>
                </c:pt>
                <c:pt idx="9">
                  <c:v>325</c:v>
                </c:pt>
                <c:pt idx="10">
                  <c:v>330</c:v>
                </c:pt>
                <c:pt idx="11">
                  <c:v>335</c:v>
                </c:pt>
                <c:pt idx="12">
                  <c:v>340</c:v>
                </c:pt>
                <c:pt idx="13">
                  <c:v>345</c:v>
                </c:pt>
                <c:pt idx="14">
                  <c:v>350</c:v>
                </c:pt>
              </c:numCache>
            </c:numRef>
          </c:xVal>
          <c:yVal>
            <c:numRef>
              <c:f>Sheet1!$E$2:$E$16</c:f>
              <c:numCache>
                <c:formatCode>General</c:formatCode>
                <c:ptCount val="15"/>
                <c:pt idx="0">
                  <c:v>735.9447989501258</c:v>
                </c:pt>
                <c:pt idx="1">
                  <c:v>749.08667035994949</c:v>
                </c:pt>
                <c:pt idx="2">
                  <c:v>762.22854176977319</c:v>
                </c:pt>
                <c:pt idx="3">
                  <c:v>775.37041317959688</c:v>
                </c:pt>
                <c:pt idx="4">
                  <c:v>788.51228458942057</c:v>
                </c:pt>
                <c:pt idx="5">
                  <c:v>801.65415599924415</c:v>
                </c:pt>
                <c:pt idx="6">
                  <c:v>814.79602740906785</c:v>
                </c:pt>
                <c:pt idx="7">
                  <c:v>827.93789881889154</c:v>
                </c:pt>
                <c:pt idx="8">
                  <c:v>841.07977022871523</c:v>
                </c:pt>
                <c:pt idx="9">
                  <c:v>854.22164163853893</c:v>
                </c:pt>
                <c:pt idx="10">
                  <c:v>867.36351304836262</c:v>
                </c:pt>
                <c:pt idx="11">
                  <c:v>880.50538445818631</c:v>
                </c:pt>
                <c:pt idx="12">
                  <c:v>893.64725586800989</c:v>
                </c:pt>
                <c:pt idx="13">
                  <c:v>906.78912727783359</c:v>
                </c:pt>
                <c:pt idx="14">
                  <c:v>919.93099868765728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C8-42CA-9A01-E340854C1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684543"/>
        <c:axId val="1586988159"/>
      </c:scatterChart>
      <c:valAx>
        <c:axId val="1755684543"/>
        <c:scaling>
          <c:orientation val="minMax"/>
          <c:max val="350"/>
          <c:min val="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 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88159"/>
        <c:crosses val="autoZero"/>
        <c:crossBetween val="midCat"/>
      </c:valAx>
      <c:valAx>
        <c:axId val="15869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8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487362</xdr:colOff>
      <xdr:row>1</xdr:row>
      <xdr:rowOff>20637</xdr:rowOff>
    </xdr:from>
    <xdr:to>
      <xdr:col>13</xdr:col>
      <xdr:colOff>182562</xdr:colOff>
      <xdr:row>15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84C34-B725-4E0C-8350-799ED1CC9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479425</xdr:colOff>
      <xdr:row>16</xdr:row>
      <xdr:rowOff>158750</xdr:rowOff>
    </xdr:from>
    <xdr:to>
      <xdr:col>13</xdr:col>
      <xdr:colOff>174625</xdr:colOff>
      <xdr:row>31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11CCA-6116-43B4-AE17-1E84BD217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5D15-E2B2-40F1-AC08-AA8EE54FCD45}">
  <dimension ref="A1:E16"/>
  <sheetViews>
    <sheetView tabSelected="1" workbookViewId="0">
      <selection activeCell="O25" sqref="O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>
        <v>0.1</v>
      </c>
      <c r="B2">
        <f>A2*11.2^1.4</f>
        <v>2.9437791958005026</v>
      </c>
      <c r="D2">
        <v>280</v>
      </c>
      <c r="E2">
        <f>D2*11.2^0.4</f>
        <v>735.9447989501258</v>
      </c>
    </row>
    <row r="3" spans="1:5" x14ac:dyDescent="0.25">
      <c r="A3">
        <f>A2+0.01</f>
        <v>0.11</v>
      </c>
      <c r="B3">
        <f t="shared" ref="B3:B12" si="0">A3*11.2^1.4</f>
        <v>3.2381571153805528</v>
      </c>
      <c r="D3">
        <f>D2+5</f>
        <v>285</v>
      </c>
      <c r="E3">
        <f t="shared" ref="E3:E16" si="1">D3*11.2^0.4</f>
        <v>749.08667035994949</v>
      </c>
    </row>
    <row r="4" spans="1:5" x14ac:dyDescent="0.25">
      <c r="A4">
        <f t="shared" ref="A4:A12" si="2">A3+0.01</f>
        <v>0.12</v>
      </c>
      <c r="B4">
        <f t="shared" si="0"/>
        <v>3.5325350349606031</v>
      </c>
      <c r="D4">
        <f t="shared" ref="D4:D16" si="3">D3+5</f>
        <v>290</v>
      </c>
      <c r="E4">
        <f t="shared" si="1"/>
        <v>762.22854176977319</v>
      </c>
    </row>
    <row r="5" spans="1:5" x14ac:dyDescent="0.25">
      <c r="A5">
        <f t="shared" si="2"/>
        <v>0.13</v>
      </c>
      <c r="B5">
        <f t="shared" si="0"/>
        <v>3.8269129545406533</v>
      </c>
      <c r="D5">
        <f t="shared" si="3"/>
        <v>295</v>
      </c>
      <c r="E5">
        <f t="shared" si="1"/>
        <v>775.37041317959688</v>
      </c>
    </row>
    <row r="6" spans="1:5" x14ac:dyDescent="0.25">
      <c r="A6">
        <f t="shared" si="2"/>
        <v>0.14000000000000001</v>
      </c>
      <c r="B6">
        <f t="shared" si="0"/>
        <v>4.1212908741207039</v>
      </c>
      <c r="D6">
        <f t="shared" si="3"/>
        <v>300</v>
      </c>
      <c r="E6">
        <f t="shared" si="1"/>
        <v>788.51228458942057</v>
      </c>
    </row>
    <row r="7" spans="1:5" x14ac:dyDescent="0.25">
      <c r="A7">
        <f t="shared" si="2"/>
        <v>0.15000000000000002</v>
      </c>
      <c r="B7">
        <f t="shared" si="0"/>
        <v>4.4156687937007542</v>
      </c>
      <c r="D7">
        <f t="shared" si="3"/>
        <v>305</v>
      </c>
      <c r="E7">
        <f t="shared" si="1"/>
        <v>801.65415599924415</v>
      </c>
    </row>
    <row r="8" spans="1:5" x14ac:dyDescent="0.25">
      <c r="A8">
        <f t="shared" si="2"/>
        <v>0.16000000000000003</v>
      </c>
      <c r="B8">
        <f t="shared" si="0"/>
        <v>4.7100467132808053</v>
      </c>
      <c r="D8">
        <f t="shared" si="3"/>
        <v>310</v>
      </c>
      <c r="E8">
        <f t="shared" si="1"/>
        <v>814.79602740906785</v>
      </c>
    </row>
    <row r="9" spans="1:5" x14ac:dyDescent="0.25">
      <c r="A9">
        <f t="shared" si="2"/>
        <v>0.17000000000000004</v>
      </c>
      <c r="B9">
        <f t="shared" si="0"/>
        <v>5.0044246328608555</v>
      </c>
      <c r="D9">
        <f t="shared" si="3"/>
        <v>315</v>
      </c>
      <c r="E9">
        <f t="shared" si="1"/>
        <v>827.93789881889154</v>
      </c>
    </row>
    <row r="10" spans="1:5" x14ac:dyDescent="0.25">
      <c r="A10">
        <f t="shared" si="2"/>
        <v>0.18000000000000005</v>
      </c>
      <c r="B10">
        <f t="shared" si="0"/>
        <v>5.2988025524409057</v>
      </c>
      <c r="D10">
        <f t="shared" si="3"/>
        <v>320</v>
      </c>
      <c r="E10">
        <f t="shared" si="1"/>
        <v>841.07977022871523</v>
      </c>
    </row>
    <row r="11" spans="1:5" x14ac:dyDescent="0.25">
      <c r="A11">
        <f>A10+0.01</f>
        <v>0.19000000000000006</v>
      </c>
      <c r="B11">
        <f t="shared" si="0"/>
        <v>5.5931804720209568</v>
      </c>
      <c r="D11">
        <f t="shared" si="3"/>
        <v>325</v>
      </c>
      <c r="E11">
        <f t="shared" si="1"/>
        <v>854.22164163853893</v>
      </c>
    </row>
    <row r="12" spans="1:5" x14ac:dyDescent="0.25">
      <c r="A12">
        <f t="shared" si="2"/>
        <v>0.20000000000000007</v>
      </c>
      <c r="B12">
        <f t="shared" si="0"/>
        <v>5.887558391601007</v>
      </c>
      <c r="D12">
        <f t="shared" si="3"/>
        <v>330</v>
      </c>
      <c r="E12">
        <f t="shared" si="1"/>
        <v>867.36351304836262</v>
      </c>
    </row>
    <row r="13" spans="1:5" x14ac:dyDescent="0.25">
      <c r="D13">
        <f t="shared" si="3"/>
        <v>335</v>
      </c>
      <c r="E13">
        <f t="shared" si="1"/>
        <v>880.50538445818631</v>
      </c>
    </row>
    <row r="14" spans="1:5" x14ac:dyDescent="0.25">
      <c r="D14">
        <f>D13+5</f>
        <v>340</v>
      </c>
      <c r="E14">
        <f t="shared" si="1"/>
        <v>893.64725586800989</v>
      </c>
    </row>
    <row r="15" spans="1:5" x14ac:dyDescent="0.25">
      <c r="D15">
        <f t="shared" si="3"/>
        <v>345</v>
      </c>
      <c r="E15">
        <f t="shared" si="1"/>
        <v>906.78912727783359</v>
      </c>
    </row>
    <row r="16" spans="1:5" x14ac:dyDescent="0.25">
      <c r="D16">
        <f t="shared" si="3"/>
        <v>350</v>
      </c>
      <c r="E16">
        <f t="shared" si="1"/>
        <v>919.93099868765728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O'Connor</dc:creator>
  <cp:lastModifiedBy>Jacqueline O'Connor</cp:lastModifiedBy>
  <dcterms:created xsi:type="dcterms:W3CDTF">2022-07-14T02:04:14Z</dcterms:created>
  <dcterms:modified xsi:type="dcterms:W3CDTF">2023-07-07T19:06:16Z</dcterms:modified>
</cp:coreProperties>
</file>