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xo22_psu_edu/Documents/Box Migration Data/Classes/ME300 - Summer 2023/Homework/"/>
    </mc:Choice>
  </mc:AlternateContent>
  <xr:revisionPtr revIDLastSave="30" documentId="8_{1D48245A-BAE3-41C1-9904-21A3333F64BF}" xr6:coauthVersionLast="47" xr6:coauthVersionMax="47" xr10:uidLastSave="{67671F8D-5E90-457D-8284-AB9F353E0D3A}"/>
  <bookViews>
    <workbookView xWindow="-120" yWindow="-120" windowWidth="29040" windowHeight="15720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2" i="1"/>
  <c r="I2" i="1" l="1"/>
</calcChain>
</file>

<file path=xl/sharedStrings.xml><?xml version="1.0" encoding="utf-8"?>
<sst xmlns="http://schemas.openxmlformats.org/spreadsheetml/2006/main" count="21" uniqueCount="21">
  <si>
    <t>Timestamp</t>
  </si>
  <si>
    <t>HR</t>
  </si>
  <si>
    <t>Pennstate.WC.SP.COGEN.CTG_Air_In_degF:Hourly</t>
  </si>
  <si>
    <t>Pennstate.WC.SP.COGEN.CTG_BARO_Press_psi:Hourly</t>
  </si>
  <si>
    <t>Pennstate.WC.SP.COGEN.CTG_T2_Avg_degF:Hourly</t>
  </si>
  <si>
    <t>Pennstate.WC.SP.COGEN.CTG_CPD_PR_Out_psi:Hourly</t>
  </si>
  <si>
    <t>Tag</t>
  </si>
  <si>
    <t>Count</t>
  </si>
  <si>
    <t>Avg</t>
  </si>
  <si>
    <t>Min</t>
  </si>
  <si>
    <t>Max</t>
  </si>
  <si>
    <t>Spread</t>
  </si>
  <si>
    <t>StdDev</t>
  </si>
  <si>
    <t>Sum</t>
  </si>
  <si>
    <t>T1 [F]</t>
  </si>
  <si>
    <t>P1 [psi]</t>
  </si>
  <si>
    <t>T2 [F]</t>
  </si>
  <si>
    <t>P2 [psi]</t>
  </si>
  <si>
    <t>T1 [K]</t>
  </si>
  <si>
    <t>T2 [K]</t>
  </si>
  <si>
    <t>Wdot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</si>
</sst>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;[Red]\-#,##0.00"/>
    <numFmt numFmtId="166" formatCode="#,##0;[Red]\-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66666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0" fontId="1" fillId="3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Compressor</a:t>
            </a:r>
            <a:r>
              <a:rPr lang="en-US" baseline="0"/>
              <a:t> Power with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Day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Data!$I$2:$I$24</c:f>
              <c:numCache>
                <c:formatCode>General</c:formatCode>
                <c:ptCount val="23"/>
                <c:pt idx="0">
                  <c:v>-9901286.3949999977</c:v>
                </c:pt>
                <c:pt idx="1">
                  <c:v>-9883300.0933333356</c:v>
                </c:pt>
                <c:pt idx="2">
                  <c:v>-9806341.5450000018</c:v>
                </c:pt>
                <c:pt idx="3">
                  <c:v>-9776389.9566666707</c:v>
                </c:pt>
                <c:pt idx="4">
                  <c:v>-10162473.988333337</c:v>
                </c:pt>
                <c:pt idx="5">
                  <c:v>-10365091.403333334</c:v>
                </c:pt>
                <c:pt idx="6">
                  <c:v>-10483211.071666665</c:v>
                </c:pt>
                <c:pt idx="7">
                  <c:v>-10515019.515000002</c:v>
                </c:pt>
                <c:pt idx="8">
                  <c:v>-10522171.66</c:v>
                </c:pt>
                <c:pt idx="9">
                  <c:v>-10539422.226666668</c:v>
                </c:pt>
                <c:pt idx="10">
                  <c:v>-10539235.373333333</c:v>
                </c:pt>
                <c:pt idx="11">
                  <c:v>-10566766.210000001</c:v>
                </c:pt>
                <c:pt idx="12">
                  <c:v>-10571327.433333334</c:v>
                </c:pt>
                <c:pt idx="13">
                  <c:v>-10593674.758333337</c:v>
                </c:pt>
                <c:pt idx="14">
                  <c:v>-10573069.173333334</c:v>
                </c:pt>
                <c:pt idx="15">
                  <c:v>-10606822.893333334</c:v>
                </c:pt>
                <c:pt idx="16">
                  <c:v>-10614295.358333334</c:v>
                </c:pt>
                <c:pt idx="17">
                  <c:v>-10612590.321666667</c:v>
                </c:pt>
                <c:pt idx="18">
                  <c:v>-10580613.376666669</c:v>
                </c:pt>
                <c:pt idx="19">
                  <c:v>-10596602.683333334</c:v>
                </c:pt>
                <c:pt idx="20">
                  <c:v>-10572573.678333333</c:v>
                </c:pt>
                <c:pt idx="21">
                  <c:v>-10564055.168333333</c:v>
                </c:pt>
                <c:pt idx="22">
                  <c:v>-10553179.303333336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61-49C6-BF2B-1CF5FD28FA08}"/>
            </c:ext>
          </c:extLst>
        </c:ser>
        <c:ser>
          <c:idx val="1"/>
          <c:order val="1"/>
          <c:tx>
            <c:v>Day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Data!$B$25:$B$48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Data!$I$25:$I$48</c:f>
              <c:numCache>
                <c:formatCode>General</c:formatCode>
                <c:ptCount val="24"/>
                <c:pt idx="0">
                  <c:v>-10373593.230000002</c:v>
                </c:pt>
                <c:pt idx="1">
                  <c:v>-10155904.091666667</c:v>
                </c:pt>
                <c:pt idx="2">
                  <c:v>-10174449.285</c:v>
                </c:pt>
                <c:pt idx="3">
                  <c:v>-10092487.405000001</c:v>
                </c:pt>
                <c:pt idx="4">
                  <c:v>-10046264.561666669</c:v>
                </c:pt>
                <c:pt idx="5">
                  <c:v>-10141905.106666666</c:v>
                </c:pt>
                <c:pt idx="6">
                  <c:v>-10502295.136666667</c:v>
                </c:pt>
                <c:pt idx="7">
                  <c:v>-10500264.775</c:v>
                </c:pt>
                <c:pt idx="8">
                  <c:v>-10513561.391666668</c:v>
                </c:pt>
                <c:pt idx="9">
                  <c:v>-10521007.163333336</c:v>
                </c:pt>
                <c:pt idx="10">
                  <c:v>-10538055.861666668</c:v>
                </c:pt>
                <c:pt idx="11">
                  <c:v>-10508708.210000003</c:v>
                </c:pt>
                <c:pt idx="12">
                  <c:v>-10516878.038333336</c:v>
                </c:pt>
                <c:pt idx="13">
                  <c:v>-10551934.726666667</c:v>
                </c:pt>
                <c:pt idx="14">
                  <c:v>-10576132.233333336</c:v>
                </c:pt>
                <c:pt idx="15">
                  <c:v>-10578532.965000002</c:v>
                </c:pt>
                <c:pt idx="16">
                  <c:v>-10570089.529999999</c:v>
                </c:pt>
                <c:pt idx="17">
                  <c:v>-10584495.588333335</c:v>
                </c:pt>
                <c:pt idx="18">
                  <c:v>-10567947.389999999</c:v>
                </c:pt>
                <c:pt idx="19">
                  <c:v>-10566015.460000001</c:v>
                </c:pt>
                <c:pt idx="20">
                  <c:v>-10544952.751666669</c:v>
                </c:pt>
                <c:pt idx="21">
                  <c:v>-10560591.708333334</c:v>
                </c:pt>
                <c:pt idx="22">
                  <c:v>-10542111.58</c:v>
                </c:pt>
                <c:pt idx="23">
                  <c:v>-10550942.068333333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61-49C6-BF2B-1CF5FD28FA08}"/>
            </c:ext>
          </c:extLst>
        </c:ser>
        <c:ser>
          <c:idx val="2"/>
          <c:order val="2"/>
          <c:tx>
            <c:v>Day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Data!$B$49:$B$72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Data!$I$49:$I$72</c:f>
              <c:numCache>
                <c:formatCode>General</c:formatCode>
                <c:ptCount val="24"/>
                <c:pt idx="0">
                  <c:v>-10257121.875000002</c:v>
                </c:pt>
                <c:pt idx="1">
                  <c:v>-10087323.913333332</c:v>
                </c:pt>
                <c:pt idx="2">
                  <c:v>-10053528.484999998</c:v>
                </c:pt>
                <c:pt idx="3">
                  <c:v>-9977957.9899999984</c:v>
                </c:pt>
                <c:pt idx="4">
                  <c:v>-10036144.451666666</c:v>
                </c:pt>
                <c:pt idx="5">
                  <c:v>-9976741.7750000004</c:v>
                </c:pt>
                <c:pt idx="6">
                  <c:v>-10070238.511666669</c:v>
                </c:pt>
                <c:pt idx="7">
                  <c:v>-10135183.391666668</c:v>
                </c:pt>
                <c:pt idx="8">
                  <c:v>-10356657.978333334</c:v>
                </c:pt>
                <c:pt idx="9">
                  <c:v>-10549086.881666668</c:v>
                </c:pt>
                <c:pt idx="10">
                  <c:v>-10549176.971666664</c:v>
                </c:pt>
                <c:pt idx="11">
                  <c:v>-10581012.108333334</c:v>
                </c:pt>
                <c:pt idx="12">
                  <c:v>-10596510.925000001</c:v>
                </c:pt>
                <c:pt idx="13">
                  <c:v>-10612151.549999999</c:v>
                </c:pt>
                <c:pt idx="14">
                  <c:v>-10599495.573333336</c:v>
                </c:pt>
                <c:pt idx="15">
                  <c:v>-10631644.356666666</c:v>
                </c:pt>
                <c:pt idx="16">
                  <c:v>-10617361.755000001</c:v>
                </c:pt>
                <c:pt idx="17">
                  <c:v>-10625371.423333334</c:v>
                </c:pt>
                <c:pt idx="18">
                  <c:v>-10608776.511666667</c:v>
                </c:pt>
                <c:pt idx="19">
                  <c:v>-10640478.181666669</c:v>
                </c:pt>
                <c:pt idx="20">
                  <c:v>-10613361.091666669</c:v>
                </c:pt>
                <c:pt idx="21">
                  <c:v>-10614248.645000001</c:v>
                </c:pt>
                <c:pt idx="22">
                  <c:v>-10584362.121666668</c:v>
                </c:pt>
                <c:pt idx="23">
                  <c:v>-10187669.158333337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61-49C6-BF2B-1CF5FD28FA08}"/>
            </c:ext>
          </c:extLst>
        </c:ser>
        <c:ser>
          <c:idx val="3"/>
          <c:order val="3"/>
          <c:tx>
            <c:v>Day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Data!$B$73:$B$96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Data!$I$73:$I$96</c:f>
              <c:numCache>
                <c:formatCode>General</c:formatCode>
                <c:ptCount val="24"/>
                <c:pt idx="0">
                  <c:v>-9986349.7066666652</c:v>
                </c:pt>
                <c:pt idx="1">
                  <c:v>-9796016.2300000004</c:v>
                </c:pt>
                <c:pt idx="2">
                  <c:v>-9808695.5633333363</c:v>
                </c:pt>
                <c:pt idx="3">
                  <c:v>-9775994.5616666675</c:v>
                </c:pt>
                <c:pt idx="4">
                  <c:v>-9751468.3933333363</c:v>
                </c:pt>
                <c:pt idx="5">
                  <c:v>-9749307.9016666673</c:v>
                </c:pt>
                <c:pt idx="6">
                  <c:v>-9790882.7683333363</c:v>
                </c:pt>
                <c:pt idx="7">
                  <c:v>-9801660.2016666662</c:v>
                </c:pt>
                <c:pt idx="8">
                  <c:v>-9921630.0516666677</c:v>
                </c:pt>
                <c:pt idx="9">
                  <c:v>-10029579.559999999</c:v>
                </c:pt>
                <c:pt idx="10">
                  <c:v>-10222035.156666666</c:v>
                </c:pt>
                <c:pt idx="11">
                  <c:v>-10568886.661666667</c:v>
                </c:pt>
                <c:pt idx="12">
                  <c:v>-10601692.768333333</c:v>
                </c:pt>
                <c:pt idx="13">
                  <c:v>-10621027.083333334</c:v>
                </c:pt>
                <c:pt idx="14">
                  <c:v>-10627416.800000001</c:v>
                </c:pt>
                <c:pt idx="15">
                  <c:v>-10625399.785000002</c:v>
                </c:pt>
                <c:pt idx="16">
                  <c:v>-10640675.045000002</c:v>
                </c:pt>
                <c:pt idx="17">
                  <c:v>-10637021.394999998</c:v>
                </c:pt>
                <c:pt idx="18">
                  <c:v>-10643639.673333334</c:v>
                </c:pt>
                <c:pt idx="19">
                  <c:v>-10622081.470000003</c:v>
                </c:pt>
                <c:pt idx="20">
                  <c:v>-10622596.984999999</c:v>
                </c:pt>
                <c:pt idx="21">
                  <c:v>-10607693.763333334</c:v>
                </c:pt>
                <c:pt idx="22">
                  <c:v>-10583387.815000003</c:v>
                </c:pt>
                <c:pt idx="23">
                  <c:v>-10570628.401666665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61-49C6-BF2B-1CF5FD28FA08}"/>
            </c:ext>
          </c:extLst>
        </c:ser>
        <c:ser>
          <c:idx val="4"/>
          <c:order val="4"/>
          <c:tx>
            <c:v>Day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Data!$B$97:$B$120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Data!$I$97:$I$120</c:f>
              <c:numCache>
                <c:formatCode>General</c:formatCode>
                <c:ptCount val="24"/>
                <c:pt idx="0">
                  <c:v>-10565498.276666667</c:v>
                </c:pt>
                <c:pt idx="1">
                  <c:v>-10485953.811666664</c:v>
                </c:pt>
                <c:pt idx="2">
                  <c:v>-9991559.9116666634</c:v>
                </c:pt>
                <c:pt idx="3">
                  <c:v>-9883305.0983333346</c:v>
                </c:pt>
                <c:pt idx="4">
                  <c:v>-9840996.1649999991</c:v>
                </c:pt>
                <c:pt idx="5">
                  <c:v>-9803315.1883333325</c:v>
                </c:pt>
                <c:pt idx="6">
                  <c:v>-9826867.0500000026</c:v>
                </c:pt>
                <c:pt idx="7">
                  <c:v>-9871746.8849999998</c:v>
                </c:pt>
                <c:pt idx="8">
                  <c:v>-10080890.819999998</c:v>
                </c:pt>
                <c:pt idx="9">
                  <c:v>-10458576.461666666</c:v>
                </c:pt>
                <c:pt idx="10">
                  <c:v>-10557838.958333332</c:v>
                </c:pt>
                <c:pt idx="11">
                  <c:v>-10560550</c:v>
                </c:pt>
                <c:pt idx="12">
                  <c:v>-10560550</c:v>
                </c:pt>
                <c:pt idx="13">
                  <c:v>-10560550</c:v>
                </c:pt>
                <c:pt idx="14">
                  <c:v>-10560550</c:v>
                </c:pt>
                <c:pt idx="15">
                  <c:v>-10560550</c:v>
                </c:pt>
                <c:pt idx="16">
                  <c:v>-10560550</c:v>
                </c:pt>
                <c:pt idx="17">
                  <c:v>-10560550</c:v>
                </c:pt>
                <c:pt idx="18">
                  <c:v>-10560550</c:v>
                </c:pt>
                <c:pt idx="19">
                  <c:v>-10560550</c:v>
                </c:pt>
                <c:pt idx="20">
                  <c:v>-10560550</c:v>
                </c:pt>
                <c:pt idx="21">
                  <c:v>-10560550</c:v>
                </c:pt>
                <c:pt idx="22">
                  <c:v>-10560550</c:v>
                </c:pt>
                <c:pt idx="23">
                  <c:v>-10560550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61-49C6-BF2B-1CF5FD28F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799519"/>
        <c:axId val="1564798079"/>
      </c:scatterChart>
      <c:valAx>
        <c:axId val="156479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98079"/>
        <c:crosses val="autoZero"/>
        <c:crossBetween val="midCat"/>
      </c:valAx>
      <c:valAx>
        <c:axId val="15647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Compressor Power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9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0</xdr:row>
      <xdr:rowOff>576262</xdr:rowOff>
    </xdr:from>
    <xdr:to>
      <xdr:col>21</xdr:col>
      <xdr:colOff>95250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CD8C8-AB32-B6D9-155B-9313C38C6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N29" sqref="N29"/>
    </sheetView>
  </sheetViews>
  <sheetFormatPr defaultRowHeight="15" customHeight="1" x14ac:dyDescent="0.25"/>
  <cols>
    <col min="1" max="1" width="19.140625" customWidth="1"/>
    <col min="2" max="2" width="7" customWidth="1"/>
    <col min="3" max="6" width="21.28515625" customWidth="1"/>
  </cols>
  <sheetData>
    <row r="1" spans="1:9" ht="48.75" customHeight="1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8" t="s">
        <v>18</v>
      </c>
      <c r="H1" s="8" t="s">
        <v>19</v>
      </c>
      <c r="I1" s="8" t="s">
        <v>20</v>
      </c>
    </row>
    <row r="2" spans="1:9" x14ac:dyDescent="0.25">
      <c r="A2" s="2">
        <v>45092.041666666664</v>
      </c>
      <c r="B2" s="3">
        <v>1</v>
      </c>
      <c r="C2" s="4">
        <v>58.563299999999998</v>
      </c>
      <c r="D2" s="4">
        <v>13.920400000000001</v>
      </c>
      <c r="E2" s="4">
        <v>652.04700000000003</v>
      </c>
      <c r="F2" s="4">
        <v>138.02180000000001</v>
      </c>
      <c r="G2">
        <f>(C2-32)*(5/9)+273.15</f>
        <v>287.90738888888887</v>
      </c>
      <c r="H2">
        <f>(E2-32)*(5/9)+273.15</f>
        <v>617.62055555555548</v>
      </c>
      <c r="I2">
        <f>-30*1001*(H2-G2)</f>
        <v>-9901286.3949999977</v>
      </c>
    </row>
    <row r="3" spans="1:9" x14ac:dyDescent="0.25">
      <c r="A3" s="2">
        <v>45092.083333333336</v>
      </c>
      <c r="B3" s="3">
        <v>2</v>
      </c>
      <c r="C3" s="4">
        <v>57.6083</v>
      </c>
      <c r="D3" s="4">
        <v>13.9391</v>
      </c>
      <c r="E3" s="4">
        <v>650.01390000000004</v>
      </c>
      <c r="F3" s="4">
        <v>137.86019999999999</v>
      </c>
      <c r="G3">
        <f t="shared" ref="G3:G66" si="0">(C3-32)*(5/9)+273.15</f>
        <v>287.37683333333331</v>
      </c>
      <c r="H3">
        <f t="shared" ref="H3:H66" si="1">(E3-32)*(5/9)+273.15</f>
        <v>616.49105555555559</v>
      </c>
      <c r="I3">
        <f t="shared" ref="I3:I66" si="2">-30*1001*(H3-G3)</f>
        <v>-9883300.0933333356</v>
      </c>
    </row>
    <row r="4" spans="1:9" x14ac:dyDescent="0.25">
      <c r="A4" s="2">
        <v>45092.125</v>
      </c>
      <c r="B4" s="3">
        <v>3</v>
      </c>
      <c r="C4" s="4">
        <v>56.344900000000003</v>
      </c>
      <c r="D4" s="4">
        <v>13.975199999999999</v>
      </c>
      <c r="E4" s="4">
        <v>644.13760000000002</v>
      </c>
      <c r="F4" s="4">
        <v>135.97550000000001</v>
      </c>
      <c r="G4">
        <f t="shared" si="0"/>
        <v>286.67494444444441</v>
      </c>
      <c r="H4">
        <f t="shared" si="1"/>
        <v>613.2264444444445</v>
      </c>
      <c r="I4">
        <f t="shared" si="2"/>
        <v>-9806341.5450000018</v>
      </c>
    </row>
    <row r="5" spans="1:9" x14ac:dyDescent="0.25">
      <c r="A5" s="2">
        <v>45092.166666666664</v>
      </c>
      <c r="B5" s="3">
        <v>4</v>
      </c>
      <c r="C5" s="4">
        <v>54.506999999999998</v>
      </c>
      <c r="D5" s="4">
        <v>13.9771</v>
      </c>
      <c r="E5" s="4">
        <v>640.50440000000003</v>
      </c>
      <c r="F5" s="4">
        <v>135.77520000000001</v>
      </c>
      <c r="G5">
        <f t="shared" si="0"/>
        <v>285.65388888888884</v>
      </c>
      <c r="H5">
        <f t="shared" si="1"/>
        <v>611.20800000000008</v>
      </c>
      <c r="I5">
        <f t="shared" si="2"/>
        <v>-9776389.9566666707</v>
      </c>
    </row>
    <row r="6" spans="1:9" x14ac:dyDescent="0.25">
      <c r="A6" s="2">
        <v>45092.208333333336</v>
      </c>
      <c r="B6" s="3">
        <v>5</v>
      </c>
      <c r="C6" s="4">
        <v>53.3217</v>
      </c>
      <c r="D6" s="4">
        <v>13.9747</v>
      </c>
      <c r="E6" s="4">
        <v>662.46100000000001</v>
      </c>
      <c r="F6" s="4">
        <v>147.40969999999999</v>
      </c>
      <c r="G6">
        <f t="shared" si="0"/>
        <v>284.99538888888884</v>
      </c>
      <c r="H6">
        <f t="shared" si="1"/>
        <v>623.40611111111116</v>
      </c>
      <c r="I6">
        <f t="shared" si="2"/>
        <v>-10162473.988333337</v>
      </c>
    </row>
    <row r="7" spans="1:9" x14ac:dyDescent="0.25">
      <c r="A7" s="2">
        <v>45092.25</v>
      </c>
      <c r="B7" s="3">
        <v>6</v>
      </c>
      <c r="C7" s="4">
        <v>52.430399999999999</v>
      </c>
      <c r="D7" s="4">
        <v>13.9748</v>
      </c>
      <c r="E7" s="4">
        <v>673.71460000000002</v>
      </c>
      <c r="F7" s="4">
        <v>153.03020000000001</v>
      </c>
      <c r="G7">
        <f t="shared" si="0"/>
        <v>284.50022222222219</v>
      </c>
      <c r="H7">
        <f t="shared" si="1"/>
        <v>629.65811111111111</v>
      </c>
      <c r="I7">
        <f t="shared" si="2"/>
        <v>-10365091.403333334</v>
      </c>
    </row>
    <row r="8" spans="1:9" x14ac:dyDescent="0.25">
      <c r="A8" s="2">
        <v>45092.291666666664</v>
      </c>
      <c r="B8" s="3">
        <v>7</v>
      </c>
      <c r="C8" s="4">
        <v>52.510899999999999</v>
      </c>
      <c r="D8" s="4">
        <v>13.9762</v>
      </c>
      <c r="E8" s="4">
        <v>680.87519999999995</v>
      </c>
      <c r="F8" s="4">
        <v>155.6095</v>
      </c>
      <c r="G8">
        <f t="shared" si="0"/>
        <v>284.54494444444441</v>
      </c>
      <c r="H8">
        <f t="shared" si="1"/>
        <v>633.63622222222216</v>
      </c>
      <c r="I8">
        <f t="shared" si="2"/>
        <v>-10483211.071666665</v>
      </c>
    </row>
    <row r="9" spans="1:9" x14ac:dyDescent="0.25">
      <c r="A9" s="2">
        <v>45092.333333333336</v>
      </c>
      <c r="B9" s="3">
        <v>8</v>
      </c>
      <c r="C9" s="4">
        <v>54.510599999999997</v>
      </c>
      <c r="D9" s="4">
        <v>13.9765</v>
      </c>
      <c r="E9" s="4">
        <v>684.78150000000005</v>
      </c>
      <c r="F9" s="4">
        <v>155.66739999999999</v>
      </c>
      <c r="G9">
        <f t="shared" si="0"/>
        <v>285.65588888888885</v>
      </c>
      <c r="H9">
        <f t="shared" si="1"/>
        <v>635.80638888888893</v>
      </c>
      <c r="I9">
        <f t="shared" si="2"/>
        <v>-10515019.515000002</v>
      </c>
    </row>
    <row r="10" spans="1:9" x14ac:dyDescent="0.25">
      <c r="A10" s="2">
        <v>45092.375</v>
      </c>
      <c r="B10" s="3">
        <v>9</v>
      </c>
      <c r="C10" s="4">
        <v>57.471499999999999</v>
      </c>
      <c r="D10" s="4">
        <v>13.9788</v>
      </c>
      <c r="E10" s="4">
        <v>688.17110000000002</v>
      </c>
      <c r="F10" s="4">
        <v>154.89330000000001</v>
      </c>
      <c r="G10">
        <f t="shared" si="0"/>
        <v>287.30083333333329</v>
      </c>
      <c r="H10">
        <f t="shared" si="1"/>
        <v>637.68949999999995</v>
      </c>
      <c r="I10">
        <f t="shared" si="2"/>
        <v>-10522171.66</v>
      </c>
    </row>
    <row r="11" spans="1:9" x14ac:dyDescent="0.25">
      <c r="A11" s="2">
        <v>45092.416666666664</v>
      </c>
      <c r="B11" s="3">
        <v>10</v>
      </c>
      <c r="C11" s="4">
        <v>61.339399999999998</v>
      </c>
      <c r="D11" s="4">
        <v>13.975099999999999</v>
      </c>
      <c r="E11" s="4">
        <v>693.07299999999998</v>
      </c>
      <c r="F11" s="4">
        <v>153.7338</v>
      </c>
      <c r="G11">
        <f t="shared" si="0"/>
        <v>289.44966666666664</v>
      </c>
      <c r="H11">
        <f t="shared" si="1"/>
        <v>640.41277777777782</v>
      </c>
      <c r="I11">
        <f t="shared" si="2"/>
        <v>-10539422.226666668</v>
      </c>
    </row>
    <row r="12" spans="1:9" x14ac:dyDescent="0.25">
      <c r="A12" s="2">
        <v>45092.458333333336</v>
      </c>
      <c r="B12" s="3">
        <v>11</v>
      </c>
      <c r="C12" s="4">
        <v>63.487499999999997</v>
      </c>
      <c r="D12" s="4">
        <v>13.9733</v>
      </c>
      <c r="E12" s="4">
        <v>695.20989999999995</v>
      </c>
      <c r="F12" s="4">
        <v>153.04150000000001</v>
      </c>
      <c r="G12">
        <f t="shared" si="0"/>
        <v>290.64305555555552</v>
      </c>
      <c r="H12">
        <f t="shared" si="1"/>
        <v>641.59994444444442</v>
      </c>
      <c r="I12">
        <f t="shared" si="2"/>
        <v>-10539235.373333333</v>
      </c>
    </row>
    <row r="13" spans="1:9" x14ac:dyDescent="0.25">
      <c r="A13" s="2">
        <v>45092.5</v>
      </c>
      <c r="B13" s="3">
        <v>12</v>
      </c>
      <c r="C13" s="4">
        <v>66.613799999999998</v>
      </c>
      <c r="D13" s="4">
        <v>13.9754</v>
      </c>
      <c r="E13" s="4">
        <v>699.9864</v>
      </c>
      <c r="F13" s="4">
        <v>151.9744</v>
      </c>
      <c r="G13">
        <f t="shared" si="0"/>
        <v>292.37988888888884</v>
      </c>
      <c r="H13">
        <f t="shared" si="1"/>
        <v>644.25355555555552</v>
      </c>
      <c r="I13">
        <f t="shared" si="2"/>
        <v>-10566766.210000001</v>
      </c>
    </row>
    <row r="14" spans="1:9" x14ac:dyDescent="0.25">
      <c r="A14" s="2">
        <v>45092.541666666664</v>
      </c>
      <c r="B14" s="3">
        <v>13</v>
      </c>
      <c r="C14" s="4">
        <v>69.068600000000004</v>
      </c>
      <c r="D14" s="4">
        <v>13.976000000000001</v>
      </c>
      <c r="E14" s="4">
        <v>702.71460000000002</v>
      </c>
      <c r="F14" s="4">
        <v>151.05340000000001</v>
      </c>
      <c r="G14">
        <f t="shared" si="0"/>
        <v>293.74366666666663</v>
      </c>
      <c r="H14">
        <f t="shared" si="1"/>
        <v>645.7692222222222</v>
      </c>
      <c r="I14">
        <f t="shared" si="2"/>
        <v>-10571327.433333334</v>
      </c>
    </row>
    <row r="15" spans="1:9" x14ac:dyDescent="0.25">
      <c r="A15" s="2">
        <v>45092.583333333336</v>
      </c>
      <c r="B15" s="3">
        <v>14</v>
      </c>
      <c r="C15" s="4">
        <v>70.779899999999998</v>
      </c>
      <c r="D15" s="4">
        <v>13.971299999999999</v>
      </c>
      <c r="E15" s="4">
        <v>705.7654</v>
      </c>
      <c r="F15" s="4">
        <v>150.3526</v>
      </c>
      <c r="G15">
        <f t="shared" si="0"/>
        <v>294.69438888888885</v>
      </c>
      <c r="H15">
        <f t="shared" si="1"/>
        <v>647.46411111111115</v>
      </c>
      <c r="I15">
        <f t="shared" si="2"/>
        <v>-10593674.758333337</v>
      </c>
    </row>
    <row r="16" spans="1:9" x14ac:dyDescent="0.25">
      <c r="A16" s="2">
        <v>45092.625</v>
      </c>
      <c r="B16" s="3">
        <v>15</v>
      </c>
      <c r="C16" s="4">
        <v>72.796800000000005</v>
      </c>
      <c r="D16" s="4">
        <v>13.9701</v>
      </c>
      <c r="E16" s="4">
        <v>706.54719999999998</v>
      </c>
      <c r="F16" s="4">
        <v>149.84780000000001</v>
      </c>
      <c r="G16">
        <f t="shared" si="0"/>
        <v>295.81488888888885</v>
      </c>
      <c r="H16">
        <f t="shared" si="1"/>
        <v>647.89844444444441</v>
      </c>
      <c r="I16">
        <f t="shared" si="2"/>
        <v>-10573069.173333334</v>
      </c>
    </row>
    <row r="17" spans="1:9" x14ac:dyDescent="0.25">
      <c r="A17" s="2">
        <v>45092.666666666664</v>
      </c>
      <c r="B17" s="3">
        <v>16</v>
      </c>
      <c r="C17" s="4">
        <v>74.770600000000002</v>
      </c>
      <c r="D17" s="4">
        <v>13.9649</v>
      </c>
      <c r="E17" s="4">
        <v>710.54420000000005</v>
      </c>
      <c r="F17" s="4">
        <v>149.2328</v>
      </c>
      <c r="G17">
        <f t="shared" si="0"/>
        <v>296.91144444444444</v>
      </c>
      <c r="H17">
        <f t="shared" si="1"/>
        <v>650.11900000000003</v>
      </c>
      <c r="I17">
        <f t="shared" si="2"/>
        <v>-10606822.893333334</v>
      </c>
    </row>
    <row r="18" spans="1:9" x14ac:dyDescent="0.25">
      <c r="A18" s="2">
        <v>45092.708333333336</v>
      </c>
      <c r="B18" s="3">
        <v>17</v>
      </c>
      <c r="C18" s="4">
        <v>74.597800000000007</v>
      </c>
      <c r="D18" s="4">
        <v>13.957000000000001</v>
      </c>
      <c r="E18" s="4">
        <v>710.8193</v>
      </c>
      <c r="F18" s="4">
        <v>149.06129999999999</v>
      </c>
      <c r="G18">
        <f t="shared" si="0"/>
        <v>296.81544444444444</v>
      </c>
      <c r="H18">
        <f t="shared" si="1"/>
        <v>650.27183333333335</v>
      </c>
      <c r="I18">
        <f t="shared" si="2"/>
        <v>-10614295.358333334</v>
      </c>
    </row>
    <row r="19" spans="1:9" x14ac:dyDescent="0.25">
      <c r="A19" s="2">
        <v>45092.75</v>
      </c>
      <c r="B19" s="3">
        <v>18</v>
      </c>
      <c r="C19" s="4">
        <v>74.504599999999996</v>
      </c>
      <c r="D19" s="4">
        <v>13.9634</v>
      </c>
      <c r="E19" s="4">
        <v>710.62390000000005</v>
      </c>
      <c r="F19" s="4">
        <v>149.3184</v>
      </c>
      <c r="G19">
        <f t="shared" si="0"/>
        <v>296.76366666666667</v>
      </c>
      <c r="H19">
        <f t="shared" si="1"/>
        <v>650.16327777777781</v>
      </c>
      <c r="I19">
        <f t="shared" si="2"/>
        <v>-10612590.321666667</v>
      </c>
    </row>
    <row r="20" spans="1:9" x14ac:dyDescent="0.25">
      <c r="A20" s="2">
        <v>45092.791666666664</v>
      </c>
      <c r="B20" s="3">
        <v>19</v>
      </c>
      <c r="C20" s="4">
        <v>72.749899999999997</v>
      </c>
      <c r="D20" s="4">
        <v>13.964</v>
      </c>
      <c r="E20" s="4">
        <v>706.95249999999999</v>
      </c>
      <c r="F20" s="4">
        <v>149.90649999999999</v>
      </c>
      <c r="G20">
        <f t="shared" si="0"/>
        <v>295.78883333333329</v>
      </c>
      <c r="H20">
        <f t="shared" si="1"/>
        <v>648.12361111111113</v>
      </c>
      <c r="I20">
        <f t="shared" si="2"/>
        <v>-10580613.376666669</v>
      </c>
    </row>
    <row r="21" spans="1:9" x14ac:dyDescent="0.25">
      <c r="A21" s="2">
        <v>45092.833333333336</v>
      </c>
      <c r="B21" s="3">
        <v>20</v>
      </c>
      <c r="C21" s="4">
        <v>70.3386</v>
      </c>
      <c r="D21" s="4">
        <v>13.964600000000001</v>
      </c>
      <c r="E21" s="4">
        <v>705.49959999999999</v>
      </c>
      <c r="F21" s="4">
        <v>150.5103</v>
      </c>
      <c r="G21">
        <f t="shared" si="0"/>
        <v>294.4492222222222</v>
      </c>
      <c r="H21">
        <f t="shared" si="1"/>
        <v>647.31644444444441</v>
      </c>
      <c r="I21">
        <f t="shared" si="2"/>
        <v>-10596602.683333334</v>
      </c>
    </row>
    <row r="22" spans="1:9" x14ac:dyDescent="0.25">
      <c r="A22" s="2">
        <v>45092.875</v>
      </c>
      <c r="B22" s="3">
        <v>21</v>
      </c>
      <c r="C22" s="4">
        <v>67.987399999999994</v>
      </c>
      <c r="D22" s="4">
        <v>13.967499999999999</v>
      </c>
      <c r="E22" s="4">
        <v>701.70809999999994</v>
      </c>
      <c r="F22" s="4">
        <v>151.4282</v>
      </c>
      <c r="G22">
        <f t="shared" si="0"/>
        <v>293.14299999999997</v>
      </c>
      <c r="H22">
        <f t="shared" si="1"/>
        <v>645.21005555555553</v>
      </c>
      <c r="I22">
        <f t="shared" si="2"/>
        <v>-10572573.678333333</v>
      </c>
    </row>
    <row r="23" spans="1:9" x14ac:dyDescent="0.25">
      <c r="A23" s="2">
        <v>45092.916666666664</v>
      </c>
      <c r="B23" s="3">
        <v>22</v>
      </c>
      <c r="C23" s="4">
        <v>64.991399999999999</v>
      </c>
      <c r="D23" s="4">
        <v>13.971299999999999</v>
      </c>
      <c r="E23" s="4">
        <v>698.20150000000001</v>
      </c>
      <c r="F23" s="4">
        <v>152.60429999999999</v>
      </c>
      <c r="G23">
        <f t="shared" si="0"/>
        <v>291.47855555555554</v>
      </c>
      <c r="H23">
        <f t="shared" si="1"/>
        <v>643.26194444444445</v>
      </c>
      <c r="I23">
        <f t="shared" si="2"/>
        <v>-10564055.168333333</v>
      </c>
    </row>
    <row r="24" spans="1:9" x14ac:dyDescent="0.25">
      <c r="A24" s="9">
        <v>45092.958333333336</v>
      </c>
      <c r="B24" s="10">
        <v>23</v>
      </c>
      <c r="C24" s="11">
        <v>63.8979</v>
      </c>
      <c r="D24" s="11">
        <v>13.977</v>
      </c>
      <c r="E24" s="11">
        <v>696.45609999999999</v>
      </c>
      <c r="F24" s="11">
        <v>153.09729999999999</v>
      </c>
      <c r="G24" s="12">
        <f t="shared" si="0"/>
        <v>290.87105555555553</v>
      </c>
      <c r="H24" s="12">
        <f t="shared" si="1"/>
        <v>642.29227777777783</v>
      </c>
      <c r="I24" s="12">
        <f t="shared" si="2"/>
        <v>-10553179.303333336</v>
      </c>
    </row>
    <row r="25" spans="1:9" x14ac:dyDescent="0.25">
      <c r="A25" s="2">
        <v>45093</v>
      </c>
      <c r="B25" s="3">
        <v>0</v>
      </c>
      <c r="C25" s="4">
        <v>63.536799999999999</v>
      </c>
      <c r="D25" s="4">
        <v>13.9779</v>
      </c>
      <c r="E25" s="4">
        <v>685.3306</v>
      </c>
      <c r="F25" s="4">
        <v>149.60130000000001</v>
      </c>
      <c r="G25">
        <f t="shared" si="0"/>
        <v>290.6704444444444</v>
      </c>
      <c r="H25">
        <f t="shared" si="1"/>
        <v>636.11144444444449</v>
      </c>
      <c r="I25">
        <f t="shared" si="2"/>
        <v>-10373593.230000002</v>
      </c>
    </row>
    <row r="26" spans="1:9" x14ac:dyDescent="0.25">
      <c r="A26" s="2">
        <v>45093.041666666664</v>
      </c>
      <c r="B26" s="3">
        <v>1</v>
      </c>
      <c r="C26" s="4">
        <v>62.255699999999997</v>
      </c>
      <c r="D26" s="4">
        <v>13.977499999999999</v>
      </c>
      <c r="E26" s="4">
        <v>671.00120000000004</v>
      </c>
      <c r="F26" s="4">
        <v>144.43989999999999</v>
      </c>
      <c r="G26">
        <f t="shared" si="0"/>
        <v>289.95872222222221</v>
      </c>
      <c r="H26">
        <f t="shared" si="1"/>
        <v>628.15066666666667</v>
      </c>
      <c r="I26">
        <f t="shared" si="2"/>
        <v>-10155904.091666667</v>
      </c>
    </row>
    <row r="27" spans="1:9" x14ac:dyDescent="0.25">
      <c r="A27" s="2">
        <v>45093.083333333336</v>
      </c>
      <c r="B27" s="3">
        <v>2</v>
      </c>
      <c r="C27" s="4">
        <v>62.025100000000002</v>
      </c>
      <c r="D27" s="4">
        <v>13.9773</v>
      </c>
      <c r="E27" s="4">
        <v>671.88220000000001</v>
      </c>
      <c r="F27" s="4">
        <v>144.9469</v>
      </c>
      <c r="G27">
        <f t="shared" si="0"/>
        <v>289.83061111111107</v>
      </c>
      <c r="H27">
        <f t="shared" si="1"/>
        <v>628.64011111111108</v>
      </c>
      <c r="I27">
        <f t="shared" si="2"/>
        <v>-10174449.285</v>
      </c>
    </row>
    <row r="28" spans="1:9" x14ac:dyDescent="0.25">
      <c r="A28" s="2">
        <v>45093.125</v>
      </c>
      <c r="B28" s="3">
        <v>3</v>
      </c>
      <c r="C28" s="4">
        <v>60.534700000000001</v>
      </c>
      <c r="D28" s="4">
        <v>13.972799999999999</v>
      </c>
      <c r="E28" s="4">
        <v>665.47900000000004</v>
      </c>
      <c r="F28" s="4">
        <v>143.4983</v>
      </c>
      <c r="G28">
        <f t="shared" si="0"/>
        <v>289.00261111111109</v>
      </c>
      <c r="H28">
        <f t="shared" si="1"/>
        <v>625.08277777777778</v>
      </c>
      <c r="I28">
        <f t="shared" si="2"/>
        <v>-10092487.405000001</v>
      </c>
    </row>
    <row r="29" spans="1:9" x14ac:dyDescent="0.25">
      <c r="A29" s="2">
        <v>45093.166666666664</v>
      </c>
      <c r="B29" s="3">
        <v>4</v>
      </c>
      <c r="C29" s="4">
        <v>60.083100000000002</v>
      </c>
      <c r="D29" s="4">
        <v>13.979200000000001</v>
      </c>
      <c r="E29" s="4">
        <v>662.2568</v>
      </c>
      <c r="F29" s="4">
        <v>142.2122</v>
      </c>
      <c r="G29">
        <f t="shared" si="0"/>
        <v>288.75172222222221</v>
      </c>
      <c r="H29">
        <f t="shared" si="1"/>
        <v>623.29266666666672</v>
      </c>
      <c r="I29">
        <f t="shared" si="2"/>
        <v>-10046264.561666669</v>
      </c>
    </row>
    <row r="30" spans="1:9" x14ac:dyDescent="0.25">
      <c r="A30" s="2">
        <v>45093.208333333336</v>
      </c>
      <c r="B30" s="3">
        <v>5</v>
      </c>
      <c r="C30" s="4">
        <v>59.830599999999997</v>
      </c>
      <c r="D30" s="4">
        <v>13.978899999999999</v>
      </c>
      <c r="E30" s="4">
        <v>667.73699999999997</v>
      </c>
      <c r="F30" s="4">
        <v>145.2081</v>
      </c>
      <c r="G30">
        <f t="shared" si="0"/>
        <v>288.61144444444443</v>
      </c>
      <c r="H30">
        <f t="shared" si="1"/>
        <v>626.33722222222218</v>
      </c>
      <c r="I30">
        <f t="shared" si="2"/>
        <v>-10141905.106666666</v>
      </c>
    </row>
    <row r="31" spans="1:9" x14ac:dyDescent="0.25">
      <c r="A31" s="2">
        <v>45093.25</v>
      </c>
      <c r="B31" s="3">
        <v>6</v>
      </c>
      <c r="C31" s="4">
        <v>57.895499999999998</v>
      </c>
      <c r="D31" s="4">
        <v>13.978300000000001</v>
      </c>
      <c r="E31" s="4">
        <v>687.40369999999996</v>
      </c>
      <c r="F31" s="4">
        <v>154.4376</v>
      </c>
      <c r="G31">
        <f t="shared" si="0"/>
        <v>287.53638888888884</v>
      </c>
      <c r="H31">
        <f t="shared" si="1"/>
        <v>637.26316666666662</v>
      </c>
      <c r="I31">
        <f t="shared" si="2"/>
        <v>-10502295.136666667</v>
      </c>
    </row>
    <row r="32" spans="1:9" x14ac:dyDescent="0.25">
      <c r="A32" s="2">
        <v>45093.291666666664</v>
      </c>
      <c r="B32" s="3">
        <v>7</v>
      </c>
      <c r="C32" s="4">
        <v>57.444000000000003</v>
      </c>
      <c r="D32" s="4">
        <v>13.978400000000001</v>
      </c>
      <c r="E32" s="4">
        <v>686.83050000000003</v>
      </c>
      <c r="F32" s="4">
        <v>154.95779999999999</v>
      </c>
      <c r="G32">
        <f t="shared" si="0"/>
        <v>287.28555555555556</v>
      </c>
      <c r="H32">
        <f t="shared" si="1"/>
        <v>636.94472222222225</v>
      </c>
      <c r="I32">
        <f t="shared" si="2"/>
        <v>-10500264.775</v>
      </c>
    </row>
    <row r="33" spans="1:9" x14ac:dyDescent="0.25">
      <c r="A33" s="2">
        <v>45093.333333333336</v>
      </c>
      <c r="B33" s="3">
        <v>8</v>
      </c>
      <c r="C33" s="4">
        <v>57.727600000000002</v>
      </c>
      <c r="D33" s="4">
        <v>13.9773</v>
      </c>
      <c r="E33" s="4">
        <v>687.91110000000003</v>
      </c>
      <c r="F33" s="4">
        <v>154.8006</v>
      </c>
      <c r="G33">
        <f t="shared" si="0"/>
        <v>287.44311111111108</v>
      </c>
      <c r="H33">
        <f t="shared" si="1"/>
        <v>637.54505555555556</v>
      </c>
      <c r="I33">
        <f t="shared" si="2"/>
        <v>-10513561.391666668</v>
      </c>
    </row>
    <row r="34" spans="1:9" x14ac:dyDescent="0.25">
      <c r="A34" s="2">
        <v>45093.375</v>
      </c>
      <c r="B34" s="3">
        <v>9</v>
      </c>
      <c r="C34" s="4">
        <v>58.093400000000003</v>
      </c>
      <c r="D34" s="4">
        <v>13.9758</v>
      </c>
      <c r="E34" s="4">
        <v>688.72320000000002</v>
      </c>
      <c r="F34" s="4">
        <v>154.5599</v>
      </c>
      <c r="G34">
        <f t="shared" si="0"/>
        <v>287.6463333333333</v>
      </c>
      <c r="H34">
        <f t="shared" si="1"/>
        <v>637.99622222222229</v>
      </c>
      <c r="I34">
        <f t="shared" si="2"/>
        <v>-10521007.163333336</v>
      </c>
    </row>
    <row r="35" spans="1:9" x14ac:dyDescent="0.25">
      <c r="A35" s="2">
        <v>45093.416666666664</v>
      </c>
      <c r="B35" s="3">
        <v>10</v>
      </c>
      <c r="C35" s="4">
        <v>58.694899999999997</v>
      </c>
      <c r="D35" s="4">
        <v>13.9773</v>
      </c>
      <c r="E35" s="4">
        <v>690.34659999999997</v>
      </c>
      <c r="F35" s="4">
        <v>154.4358</v>
      </c>
      <c r="G35">
        <f t="shared" si="0"/>
        <v>287.98049999999995</v>
      </c>
      <c r="H35">
        <f t="shared" si="1"/>
        <v>638.89811111111112</v>
      </c>
      <c r="I35">
        <f t="shared" si="2"/>
        <v>-10538055.861666668</v>
      </c>
    </row>
    <row r="36" spans="1:9" x14ac:dyDescent="0.25">
      <c r="A36" s="2">
        <v>45093.458333333336</v>
      </c>
      <c r="B36" s="3">
        <v>11</v>
      </c>
      <c r="C36" s="4">
        <v>60.021900000000002</v>
      </c>
      <c r="D36" s="4">
        <v>13.977</v>
      </c>
      <c r="E36" s="4">
        <v>689.91449999999998</v>
      </c>
      <c r="F36" s="4">
        <v>154.09710000000001</v>
      </c>
      <c r="G36">
        <f t="shared" si="0"/>
        <v>288.71772222222222</v>
      </c>
      <c r="H36">
        <f t="shared" si="1"/>
        <v>638.65805555555562</v>
      </c>
      <c r="I36">
        <f t="shared" si="2"/>
        <v>-10508708.210000003</v>
      </c>
    </row>
    <row r="37" spans="1:9" x14ac:dyDescent="0.25">
      <c r="A37" s="2">
        <v>45093.5</v>
      </c>
      <c r="B37" s="3">
        <v>12</v>
      </c>
      <c r="C37" s="4">
        <v>62.977699999999999</v>
      </c>
      <c r="D37" s="4">
        <v>13.9765</v>
      </c>
      <c r="E37" s="4">
        <v>693.36</v>
      </c>
      <c r="F37" s="4">
        <v>152.9605</v>
      </c>
      <c r="G37">
        <f t="shared" si="0"/>
        <v>290.35983333333331</v>
      </c>
      <c r="H37">
        <f t="shared" si="1"/>
        <v>640.57222222222231</v>
      </c>
      <c r="I37">
        <f t="shared" si="2"/>
        <v>-10516878.038333336</v>
      </c>
    </row>
    <row r="38" spans="1:9" x14ac:dyDescent="0.25">
      <c r="A38" s="2">
        <v>45093.541666666664</v>
      </c>
      <c r="B38" s="3">
        <v>13</v>
      </c>
      <c r="C38" s="4">
        <v>65.706100000000006</v>
      </c>
      <c r="D38" s="4">
        <v>13.9773</v>
      </c>
      <c r="E38" s="4">
        <v>698.18970000000002</v>
      </c>
      <c r="F38" s="4">
        <v>151.9751</v>
      </c>
      <c r="G38">
        <f t="shared" si="0"/>
        <v>291.87561111111108</v>
      </c>
      <c r="H38">
        <f t="shared" si="1"/>
        <v>643.25538888888889</v>
      </c>
      <c r="I38">
        <f t="shared" si="2"/>
        <v>-10551934.726666667</v>
      </c>
    </row>
    <row r="39" spans="1:9" x14ac:dyDescent="0.25">
      <c r="A39" s="2">
        <v>45093.583333333336</v>
      </c>
      <c r="B39" s="3">
        <v>14</v>
      </c>
      <c r="C39" s="4">
        <v>68.5107</v>
      </c>
      <c r="D39" s="4">
        <v>13.9732</v>
      </c>
      <c r="E39" s="4">
        <v>702.44470000000001</v>
      </c>
      <c r="F39" s="4">
        <v>150.92449999999999</v>
      </c>
      <c r="G39">
        <f t="shared" si="0"/>
        <v>293.43372222222217</v>
      </c>
      <c r="H39">
        <f t="shared" si="1"/>
        <v>645.61927777777782</v>
      </c>
      <c r="I39">
        <f t="shared" si="2"/>
        <v>-10576132.233333336</v>
      </c>
    </row>
    <row r="40" spans="1:9" x14ac:dyDescent="0.25">
      <c r="A40" s="2">
        <v>45093.625</v>
      </c>
      <c r="B40" s="3">
        <v>15</v>
      </c>
      <c r="C40" s="4">
        <v>72.279300000000006</v>
      </c>
      <c r="D40" s="4">
        <v>13.973699999999999</v>
      </c>
      <c r="E40" s="4">
        <v>706.35720000000003</v>
      </c>
      <c r="F40" s="4">
        <v>149.63980000000001</v>
      </c>
      <c r="G40">
        <f t="shared" si="0"/>
        <v>295.52738888888888</v>
      </c>
      <c r="H40">
        <f t="shared" si="1"/>
        <v>647.79288888888891</v>
      </c>
      <c r="I40">
        <f t="shared" si="2"/>
        <v>-10578532.965000002</v>
      </c>
    </row>
    <row r="41" spans="1:9" x14ac:dyDescent="0.25">
      <c r="A41" s="2">
        <v>45093.666666666664</v>
      </c>
      <c r="B41" s="3">
        <v>16</v>
      </c>
      <c r="C41" s="4">
        <v>71.494699999999995</v>
      </c>
      <c r="D41" s="4">
        <v>13.950200000000001</v>
      </c>
      <c r="E41" s="4">
        <v>705.06650000000002</v>
      </c>
      <c r="F41" s="4">
        <v>149.86019999999999</v>
      </c>
      <c r="G41">
        <f t="shared" si="0"/>
        <v>295.0915</v>
      </c>
      <c r="H41">
        <f t="shared" si="1"/>
        <v>647.07583333333332</v>
      </c>
      <c r="I41">
        <f t="shared" si="2"/>
        <v>-10570089.529999999</v>
      </c>
    </row>
    <row r="42" spans="1:9" x14ac:dyDescent="0.25">
      <c r="A42" s="2">
        <v>45093.708333333336</v>
      </c>
      <c r="B42" s="3">
        <v>17</v>
      </c>
      <c r="C42" s="4">
        <v>70.460099999999997</v>
      </c>
      <c r="D42" s="4">
        <v>13.975099999999999</v>
      </c>
      <c r="E42" s="4">
        <v>704.8954</v>
      </c>
      <c r="F42" s="4">
        <v>150.1317</v>
      </c>
      <c r="G42">
        <f t="shared" si="0"/>
        <v>294.5167222222222</v>
      </c>
      <c r="H42">
        <f t="shared" si="1"/>
        <v>646.9807777777778</v>
      </c>
      <c r="I42">
        <f t="shared" si="2"/>
        <v>-10584495.588333335</v>
      </c>
    </row>
    <row r="43" spans="1:9" x14ac:dyDescent="0.25">
      <c r="A43" s="2">
        <v>45093.75</v>
      </c>
      <c r="B43" s="3">
        <v>18</v>
      </c>
      <c r="C43" s="4">
        <v>69.796400000000006</v>
      </c>
      <c r="D43" s="4">
        <v>13.975099999999999</v>
      </c>
      <c r="E43" s="4">
        <v>703.23979999999995</v>
      </c>
      <c r="F43" s="4">
        <v>150.39449999999999</v>
      </c>
      <c r="G43">
        <f t="shared" si="0"/>
        <v>294.14799999999997</v>
      </c>
      <c r="H43">
        <f t="shared" si="1"/>
        <v>646.06099999999992</v>
      </c>
      <c r="I43">
        <f t="shared" si="2"/>
        <v>-10567947.389999999</v>
      </c>
    </row>
    <row r="44" spans="1:9" x14ac:dyDescent="0.25">
      <c r="A44" s="2">
        <v>45093.791666666664</v>
      </c>
      <c r="B44" s="3">
        <v>19</v>
      </c>
      <c r="C44" s="4">
        <v>69.222099999999998</v>
      </c>
      <c r="D44" s="4">
        <v>13.9758</v>
      </c>
      <c r="E44" s="4">
        <v>702.54970000000003</v>
      </c>
      <c r="F44" s="4">
        <v>150.83879999999999</v>
      </c>
      <c r="G44">
        <f t="shared" si="0"/>
        <v>293.8289444444444</v>
      </c>
      <c r="H44">
        <f t="shared" si="1"/>
        <v>645.6776111111111</v>
      </c>
      <c r="I44">
        <f t="shared" si="2"/>
        <v>-10566015.460000001</v>
      </c>
    </row>
    <row r="45" spans="1:9" x14ac:dyDescent="0.25">
      <c r="A45" s="2">
        <v>45093.833333333336</v>
      </c>
      <c r="B45" s="3">
        <v>20</v>
      </c>
      <c r="C45" s="4">
        <v>67.098799999999997</v>
      </c>
      <c r="D45" s="4">
        <v>13.9754</v>
      </c>
      <c r="E45" s="4">
        <v>699.16390000000001</v>
      </c>
      <c r="F45" s="4">
        <v>151.67189999999999</v>
      </c>
      <c r="G45">
        <f t="shared" si="0"/>
        <v>292.64933333333329</v>
      </c>
      <c r="H45">
        <f t="shared" si="1"/>
        <v>643.79661111111113</v>
      </c>
      <c r="I45">
        <f t="shared" si="2"/>
        <v>-10544952.751666669</v>
      </c>
    </row>
    <row r="46" spans="1:9" x14ac:dyDescent="0.25">
      <c r="A46" s="2">
        <v>45093.875</v>
      </c>
      <c r="B46" s="3">
        <v>21</v>
      </c>
      <c r="C46" s="4">
        <v>65.124600000000001</v>
      </c>
      <c r="D46" s="4">
        <v>13.9795</v>
      </c>
      <c r="E46" s="4">
        <v>698.12710000000004</v>
      </c>
      <c r="F46" s="4">
        <v>152.45189999999999</v>
      </c>
      <c r="G46">
        <f t="shared" si="0"/>
        <v>291.55255555555556</v>
      </c>
      <c r="H46">
        <f t="shared" si="1"/>
        <v>643.22061111111111</v>
      </c>
      <c r="I46">
        <f t="shared" si="2"/>
        <v>-10560591.708333334</v>
      </c>
    </row>
    <row r="47" spans="1:9" x14ac:dyDescent="0.25">
      <c r="A47" s="2">
        <v>45093.916666666664</v>
      </c>
      <c r="B47" s="3">
        <v>22</v>
      </c>
      <c r="C47" s="4">
        <v>64.347399999999993</v>
      </c>
      <c r="D47" s="4">
        <v>13.976100000000001</v>
      </c>
      <c r="E47" s="4">
        <v>696.24220000000003</v>
      </c>
      <c r="F47" s="4">
        <v>152.82640000000001</v>
      </c>
      <c r="G47">
        <f t="shared" si="0"/>
        <v>291.12077777777773</v>
      </c>
      <c r="H47">
        <f t="shared" si="1"/>
        <v>642.17344444444439</v>
      </c>
      <c r="I47">
        <f t="shared" si="2"/>
        <v>-10542111.58</v>
      </c>
    </row>
    <row r="48" spans="1:9" x14ac:dyDescent="0.25">
      <c r="A48" s="9">
        <v>45093.958333333336</v>
      </c>
      <c r="B48" s="10">
        <v>23</v>
      </c>
      <c r="C48" s="11">
        <v>62.167900000000003</v>
      </c>
      <c r="D48" s="11">
        <v>13.9754</v>
      </c>
      <c r="E48" s="11">
        <v>694.59199999999998</v>
      </c>
      <c r="F48" s="11">
        <v>153.62649999999999</v>
      </c>
      <c r="G48" s="12">
        <f t="shared" si="0"/>
        <v>289.90994444444442</v>
      </c>
      <c r="H48" s="12">
        <f t="shared" si="1"/>
        <v>641.25666666666666</v>
      </c>
      <c r="I48" s="12">
        <f t="shared" si="2"/>
        <v>-10550942.068333333</v>
      </c>
    </row>
    <row r="49" spans="1:9" x14ac:dyDescent="0.25">
      <c r="A49" s="2">
        <v>45094</v>
      </c>
      <c r="B49" s="3">
        <v>0</v>
      </c>
      <c r="C49" s="4">
        <v>61.804499999999997</v>
      </c>
      <c r="D49" s="4">
        <v>13.978300000000001</v>
      </c>
      <c r="E49" s="4">
        <v>676.61699999999996</v>
      </c>
      <c r="F49" s="4">
        <v>146.91669999999999</v>
      </c>
      <c r="G49">
        <f t="shared" si="0"/>
        <v>289.70805555555552</v>
      </c>
      <c r="H49">
        <f t="shared" si="1"/>
        <v>631.27055555555557</v>
      </c>
      <c r="I49">
        <f t="shared" si="2"/>
        <v>-10257121.875000002</v>
      </c>
    </row>
    <row r="50" spans="1:9" x14ac:dyDescent="0.25">
      <c r="A50" s="2">
        <v>45094.041666666664</v>
      </c>
      <c r="B50" s="3">
        <v>1</v>
      </c>
      <c r="C50" s="4">
        <v>61.698599999999999</v>
      </c>
      <c r="D50" s="4">
        <v>13.9941</v>
      </c>
      <c r="E50" s="4">
        <v>666.33339999999998</v>
      </c>
      <c r="F50" s="4">
        <v>142.98779999999999</v>
      </c>
      <c r="G50">
        <f t="shared" si="0"/>
        <v>289.64922222222219</v>
      </c>
      <c r="H50">
        <f t="shared" si="1"/>
        <v>625.5574444444444</v>
      </c>
      <c r="I50">
        <f t="shared" si="2"/>
        <v>-10087323.913333332</v>
      </c>
    </row>
    <row r="51" spans="1:9" x14ac:dyDescent="0.25">
      <c r="A51" s="2">
        <v>45094.083333333336</v>
      </c>
      <c r="B51" s="3">
        <v>2</v>
      </c>
      <c r="C51" s="4">
        <v>61.305799999999998</v>
      </c>
      <c r="D51" s="4">
        <v>13.9856</v>
      </c>
      <c r="E51" s="4">
        <v>663.91489999999999</v>
      </c>
      <c r="F51" s="4">
        <v>142.0712</v>
      </c>
      <c r="G51">
        <f t="shared" si="0"/>
        <v>289.43099999999998</v>
      </c>
      <c r="H51">
        <f t="shared" si="1"/>
        <v>624.21383333333324</v>
      </c>
      <c r="I51">
        <f t="shared" si="2"/>
        <v>-10053528.484999998</v>
      </c>
    </row>
    <row r="52" spans="1:9" x14ac:dyDescent="0.25">
      <c r="A52" s="2">
        <v>45094.125</v>
      </c>
      <c r="B52" s="3">
        <v>3</v>
      </c>
      <c r="C52" s="4">
        <v>61.3125</v>
      </c>
      <c r="D52" s="4">
        <v>13.9779</v>
      </c>
      <c r="E52" s="4">
        <v>659.39189999999996</v>
      </c>
      <c r="F52" s="4">
        <v>139.965</v>
      </c>
      <c r="G52">
        <f t="shared" si="0"/>
        <v>289.43472222222221</v>
      </c>
      <c r="H52">
        <f t="shared" si="1"/>
        <v>621.70105555555551</v>
      </c>
      <c r="I52">
        <f t="shared" si="2"/>
        <v>-9977957.9899999984</v>
      </c>
    </row>
    <row r="53" spans="1:9" x14ac:dyDescent="0.25">
      <c r="A53" s="2">
        <v>45094.166666666664</v>
      </c>
      <c r="B53" s="3">
        <v>4</v>
      </c>
      <c r="C53" s="4">
        <v>61.2515</v>
      </c>
      <c r="D53" s="4">
        <v>13.979799999999999</v>
      </c>
      <c r="E53" s="4">
        <v>662.81859999999995</v>
      </c>
      <c r="F53" s="4">
        <v>141.67439999999999</v>
      </c>
      <c r="G53">
        <f t="shared" si="0"/>
        <v>289.40083333333331</v>
      </c>
      <c r="H53">
        <f t="shared" si="1"/>
        <v>623.60477777777771</v>
      </c>
      <c r="I53">
        <f t="shared" si="2"/>
        <v>-10036144.451666666</v>
      </c>
    </row>
    <row r="54" spans="1:9" x14ac:dyDescent="0.25">
      <c r="A54" s="2">
        <v>45094.208333333336</v>
      </c>
      <c r="B54" s="3">
        <v>5</v>
      </c>
      <c r="C54" s="4">
        <v>61.4816</v>
      </c>
      <c r="D54" s="4">
        <v>14.0002</v>
      </c>
      <c r="E54" s="4">
        <v>659.48810000000003</v>
      </c>
      <c r="F54" s="4">
        <v>139.84610000000001</v>
      </c>
      <c r="G54">
        <f t="shared" si="0"/>
        <v>289.52866666666665</v>
      </c>
      <c r="H54">
        <f t="shared" si="1"/>
        <v>621.75450000000001</v>
      </c>
      <c r="I54">
        <f t="shared" si="2"/>
        <v>-9976741.7750000004</v>
      </c>
    </row>
    <row r="55" spans="1:9" x14ac:dyDescent="0.25">
      <c r="A55" s="2">
        <v>45094.25</v>
      </c>
      <c r="B55" s="3">
        <v>6</v>
      </c>
      <c r="C55" s="4">
        <v>61.3919</v>
      </c>
      <c r="D55" s="4">
        <v>14.0174</v>
      </c>
      <c r="E55" s="4">
        <v>665.00260000000003</v>
      </c>
      <c r="F55" s="4">
        <v>142.72669999999999</v>
      </c>
      <c r="G55">
        <f t="shared" si="0"/>
        <v>289.47883333333334</v>
      </c>
      <c r="H55">
        <f t="shared" si="1"/>
        <v>624.81811111111119</v>
      </c>
      <c r="I55">
        <f t="shared" si="2"/>
        <v>-10070238.511666669</v>
      </c>
    </row>
    <row r="56" spans="1:9" x14ac:dyDescent="0.25">
      <c r="A56" s="2">
        <v>45094.291666666664</v>
      </c>
      <c r="B56" s="3">
        <v>7</v>
      </c>
      <c r="C56" s="4">
        <v>61.099200000000003</v>
      </c>
      <c r="D56" s="4">
        <v>14.0365</v>
      </c>
      <c r="E56" s="4">
        <v>668.60270000000003</v>
      </c>
      <c r="F56" s="4">
        <v>144.72389999999999</v>
      </c>
      <c r="G56">
        <f t="shared" si="0"/>
        <v>289.31622222222222</v>
      </c>
      <c r="H56">
        <f t="shared" si="1"/>
        <v>626.81816666666668</v>
      </c>
      <c r="I56">
        <f t="shared" si="2"/>
        <v>-10135183.391666668</v>
      </c>
    </row>
    <row r="57" spans="1:9" x14ac:dyDescent="0.25">
      <c r="A57" s="2">
        <v>45094.333333333336</v>
      </c>
      <c r="B57" s="3">
        <v>8</v>
      </c>
      <c r="C57" s="4">
        <v>61.509399999999999</v>
      </c>
      <c r="D57" s="4">
        <v>14.0364</v>
      </c>
      <c r="E57" s="4">
        <v>682.28809999999999</v>
      </c>
      <c r="F57" s="4">
        <v>149.91130000000001</v>
      </c>
      <c r="G57">
        <f t="shared" si="0"/>
        <v>289.54411111111108</v>
      </c>
      <c r="H57">
        <f t="shared" si="1"/>
        <v>634.42116666666664</v>
      </c>
      <c r="I57">
        <f t="shared" si="2"/>
        <v>-10356657.978333334</v>
      </c>
    </row>
    <row r="58" spans="1:9" x14ac:dyDescent="0.25">
      <c r="A58" s="2">
        <v>45094.375</v>
      </c>
      <c r="B58" s="3">
        <v>9</v>
      </c>
      <c r="C58" s="4">
        <v>62.337800000000001</v>
      </c>
      <c r="D58" s="4">
        <v>14.0374</v>
      </c>
      <c r="E58" s="4">
        <v>694.65070000000003</v>
      </c>
      <c r="F58" s="4">
        <v>153.8021</v>
      </c>
      <c r="G58">
        <f t="shared" si="0"/>
        <v>290.00433333333331</v>
      </c>
      <c r="H58">
        <f t="shared" si="1"/>
        <v>641.28927777777778</v>
      </c>
      <c r="I58">
        <f t="shared" si="2"/>
        <v>-10549086.881666668</v>
      </c>
    </row>
    <row r="59" spans="1:9" x14ac:dyDescent="0.25">
      <c r="A59" s="2">
        <v>45094.416666666664</v>
      </c>
      <c r="B59" s="3">
        <v>10</v>
      </c>
      <c r="C59" s="4">
        <v>64.8155</v>
      </c>
      <c r="D59" s="4">
        <v>14.0359</v>
      </c>
      <c r="E59" s="4">
        <v>697.13379999999995</v>
      </c>
      <c r="F59" s="4">
        <v>153.0067</v>
      </c>
      <c r="G59">
        <f t="shared" si="0"/>
        <v>291.38083333333333</v>
      </c>
      <c r="H59">
        <f t="shared" si="1"/>
        <v>642.66877777777768</v>
      </c>
      <c r="I59">
        <f t="shared" si="2"/>
        <v>-10549176.971666664</v>
      </c>
    </row>
    <row r="60" spans="1:9" x14ac:dyDescent="0.25">
      <c r="A60" s="2">
        <v>45094.458333333336</v>
      </c>
      <c r="B60" s="3">
        <v>11</v>
      </c>
      <c r="C60" s="4">
        <v>68.106099999999998</v>
      </c>
      <c r="D60" s="4">
        <v>14.040800000000001</v>
      </c>
      <c r="E60" s="4">
        <v>702.33259999999996</v>
      </c>
      <c r="F60" s="4">
        <v>151.94040000000001</v>
      </c>
      <c r="G60">
        <f t="shared" si="0"/>
        <v>293.2089444444444</v>
      </c>
      <c r="H60">
        <f t="shared" si="1"/>
        <v>645.55700000000002</v>
      </c>
      <c r="I60">
        <f t="shared" si="2"/>
        <v>-10581012.108333334</v>
      </c>
    </row>
    <row r="61" spans="1:9" x14ac:dyDescent="0.25">
      <c r="A61" s="2">
        <v>45094.5</v>
      </c>
      <c r="B61" s="3">
        <v>12</v>
      </c>
      <c r="C61" s="4">
        <v>70.721400000000003</v>
      </c>
      <c r="D61" s="4">
        <v>14.041499999999999</v>
      </c>
      <c r="E61" s="4">
        <v>705.87689999999998</v>
      </c>
      <c r="F61" s="4">
        <v>150.96770000000001</v>
      </c>
      <c r="G61">
        <f t="shared" si="0"/>
        <v>294.66188888888888</v>
      </c>
      <c r="H61">
        <f t="shared" si="1"/>
        <v>647.52605555555556</v>
      </c>
      <c r="I61">
        <f t="shared" si="2"/>
        <v>-10596510.925000001</v>
      </c>
    </row>
    <row r="62" spans="1:9" x14ac:dyDescent="0.25">
      <c r="A62" s="2">
        <v>45094.541666666664</v>
      </c>
      <c r="B62" s="3">
        <v>13</v>
      </c>
      <c r="C62" s="4">
        <v>72.954899999999995</v>
      </c>
      <c r="D62" s="4">
        <v>14.0357</v>
      </c>
      <c r="E62" s="4">
        <v>709.04790000000003</v>
      </c>
      <c r="F62" s="4">
        <v>150.3973</v>
      </c>
      <c r="G62">
        <f t="shared" si="0"/>
        <v>295.90272222222222</v>
      </c>
      <c r="H62">
        <f t="shared" si="1"/>
        <v>649.28772222222221</v>
      </c>
      <c r="I62">
        <f t="shared" si="2"/>
        <v>-10612151.549999999</v>
      </c>
    </row>
    <row r="63" spans="1:9" x14ac:dyDescent="0.25">
      <c r="A63" s="2">
        <v>45094.583333333336</v>
      </c>
      <c r="B63" s="3">
        <v>14</v>
      </c>
      <c r="C63" s="4">
        <v>75.206299999999999</v>
      </c>
      <c r="D63" s="4">
        <v>14.0345</v>
      </c>
      <c r="E63" s="4">
        <v>710.54070000000002</v>
      </c>
      <c r="F63" s="4">
        <v>149.58009999999999</v>
      </c>
      <c r="G63">
        <f t="shared" si="0"/>
        <v>297.15349999999995</v>
      </c>
      <c r="H63">
        <f t="shared" si="1"/>
        <v>650.11705555555557</v>
      </c>
      <c r="I63">
        <f t="shared" si="2"/>
        <v>-10599495.573333336</v>
      </c>
    </row>
    <row r="64" spans="1:9" x14ac:dyDescent="0.25">
      <c r="A64" s="2">
        <v>45094.625</v>
      </c>
      <c r="B64" s="3">
        <v>15</v>
      </c>
      <c r="C64" s="4">
        <v>76.672200000000004</v>
      </c>
      <c r="D64" s="4">
        <v>14.0245</v>
      </c>
      <c r="E64" s="4">
        <v>713.93359999999996</v>
      </c>
      <c r="F64" s="4">
        <v>149.0857</v>
      </c>
      <c r="G64">
        <f t="shared" si="0"/>
        <v>297.96788888888887</v>
      </c>
      <c r="H64">
        <f t="shared" si="1"/>
        <v>652.00199999999995</v>
      </c>
      <c r="I64">
        <f t="shared" si="2"/>
        <v>-10631644.356666666</v>
      </c>
    </row>
    <row r="65" spans="1:9" x14ac:dyDescent="0.25">
      <c r="A65" s="2">
        <v>45094.666666666664</v>
      </c>
      <c r="B65" s="3">
        <v>16</v>
      </c>
      <c r="C65" s="4">
        <v>77.812100000000001</v>
      </c>
      <c r="D65" s="4">
        <v>13.996</v>
      </c>
      <c r="E65" s="4">
        <v>714.2174</v>
      </c>
      <c r="F65" s="4">
        <v>148.648</v>
      </c>
      <c r="G65">
        <f t="shared" si="0"/>
        <v>298.60116666666664</v>
      </c>
      <c r="H65">
        <f t="shared" si="1"/>
        <v>652.15966666666668</v>
      </c>
      <c r="I65">
        <f t="shared" si="2"/>
        <v>-10617361.755000001</v>
      </c>
    </row>
    <row r="66" spans="1:9" x14ac:dyDescent="0.25">
      <c r="A66" s="2">
        <v>45094.708333333336</v>
      </c>
      <c r="B66" s="3">
        <v>17</v>
      </c>
      <c r="C66" s="4">
        <v>78.478899999999996</v>
      </c>
      <c r="D66" s="4">
        <v>13.9711</v>
      </c>
      <c r="E66" s="4">
        <v>715.36429999999996</v>
      </c>
      <c r="F66" s="4">
        <v>148.43360000000001</v>
      </c>
      <c r="G66">
        <f t="shared" si="0"/>
        <v>298.97161111111109</v>
      </c>
      <c r="H66">
        <f t="shared" si="1"/>
        <v>652.79683333333332</v>
      </c>
      <c r="I66">
        <f t="shared" si="2"/>
        <v>-10625371.423333334</v>
      </c>
    </row>
    <row r="67" spans="1:9" x14ac:dyDescent="0.25">
      <c r="A67" s="2">
        <v>45094.75</v>
      </c>
      <c r="B67" s="3">
        <v>18</v>
      </c>
      <c r="C67" s="4">
        <v>78.052899999999994</v>
      </c>
      <c r="D67" s="4">
        <v>13.989000000000001</v>
      </c>
      <c r="E67" s="4">
        <v>713.94359999999995</v>
      </c>
      <c r="F67" s="4">
        <v>148.60059999999999</v>
      </c>
      <c r="G67">
        <f t="shared" ref="G67:G121" si="3">(C67-32)*(5/9)+273.15</f>
        <v>298.73494444444441</v>
      </c>
      <c r="H67">
        <f t="shared" ref="H67:H121" si="4">(E67-32)*(5/9)+273.15</f>
        <v>652.00755555555554</v>
      </c>
      <c r="I67">
        <f t="shared" ref="I67:I121" si="5">-30*1001*(H67-G67)</f>
        <v>-10608776.511666667</v>
      </c>
    </row>
    <row r="68" spans="1:9" x14ac:dyDescent="0.25">
      <c r="A68" s="2">
        <v>45094.791666666664</v>
      </c>
      <c r="B68" s="3">
        <v>19</v>
      </c>
      <c r="C68" s="4">
        <v>76.178200000000004</v>
      </c>
      <c r="D68" s="4">
        <v>14.0098</v>
      </c>
      <c r="E68" s="4">
        <v>713.96910000000003</v>
      </c>
      <c r="F68" s="4">
        <v>149.3552</v>
      </c>
      <c r="G68">
        <f t="shared" si="3"/>
        <v>297.69344444444442</v>
      </c>
      <c r="H68">
        <f t="shared" si="4"/>
        <v>652.02172222222225</v>
      </c>
      <c r="I68">
        <f t="shared" si="5"/>
        <v>-10640478.181666669</v>
      </c>
    </row>
    <row r="69" spans="1:9" x14ac:dyDescent="0.25">
      <c r="A69" s="2">
        <v>45094.833333333336</v>
      </c>
      <c r="B69" s="3">
        <v>20</v>
      </c>
      <c r="C69" s="4">
        <v>74.154899999999998</v>
      </c>
      <c r="D69" s="4">
        <v>14.0237</v>
      </c>
      <c r="E69" s="4">
        <v>710.32039999999995</v>
      </c>
      <c r="F69" s="4">
        <v>150.17320000000001</v>
      </c>
      <c r="G69">
        <f t="shared" si="3"/>
        <v>296.56938888888885</v>
      </c>
      <c r="H69">
        <f t="shared" si="4"/>
        <v>649.99466666666672</v>
      </c>
      <c r="I69">
        <f t="shared" si="5"/>
        <v>-10613361.091666669</v>
      </c>
    </row>
    <row r="70" spans="1:9" x14ac:dyDescent="0.25">
      <c r="A70" s="2">
        <v>45094.875</v>
      </c>
      <c r="B70" s="3">
        <v>21</v>
      </c>
      <c r="C70" s="4">
        <v>70.998599999999996</v>
      </c>
      <c r="D70" s="4">
        <v>14.0266</v>
      </c>
      <c r="E70" s="4">
        <v>707.21730000000002</v>
      </c>
      <c r="F70" s="4">
        <v>151.18360000000001</v>
      </c>
      <c r="G70">
        <f t="shared" si="3"/>
        <v>294.81588888888888</v>
      </c>
      <c r="H70">
        <f t="shared" si="4"/>
        <v>648.27072222222228</v>
      </c>
      <c r="I70">
        <f t="shared" si="5"/>
        <v>-10614248.645000001</v>
      </c>
    </row>
    <row r="71" spans="1:9" x14ac:dyDescent="0.25">
      <c r="A71" s="2">
        <v>45094.916666666664</v>
      </c>
      <c r="B71" s="3">
        <v>22</v>
      </c>
      <c r="C71" s="4">
        <v>68.643799999999999</v>
      </c>
      <c r="D71" s="4">
        <v>14.029400000000001</v>
      </c>
      <c r="E71" s="4">
        <v>703.0711</v>
      </c>
      <c r="F71" s="4">
        <v>152.18510000000001</v>
      </c>
      <c r="G71">
        <f t="shared" si="3"/>
        <v>293.50766666666664</v>
      </c>
      <c r="H71">
        <f t="shared" si="4"/>
        <v>645.96727777777778</v>
      </c>
      <c r="I71">
        <f t="shared" si="5"/>
        <v>-10584362.121666668</v>
      </c>
    </row>
    <row r="72" spans="1:9" x14ac:dyDescent="0.25">
      <c r="A72" s="9">
        <v>45094.958333333336</v>
      </c>
      <c r="B72" s="10">
        <v>23</v>
      </c>
      <c r="C72" s="11">
        <v>65.971299999999999</v>
      </c>
      <c r="D72" s="11">
        <v>14.035299999999999</v>
      </c>
      <c r="E72" s="11">
        <v>676.62080000000003</v>
      </c>
      <c r="F72" s="11">
        <v>143.80240000000001</v>
      </c>
      <c r="G72" s="12">
        <f t="shared" si="3"/>
        <v>292.02294444444442</v>
      </c>
      <c r="H72" s="12">
        <f t="shared" si="4"/>
        <v>631.27266666666674</v>
      </c>
      <c r="I72" s="12">
        <f t="shared" si="5"/>
        <v>-10187669.158333337</v>
      </c>
    </row>
    <row r="73" spans="1:9" x14ac:dyDescent="0.25">
      <c r="A73" s="2">
        <v>45095</v>
      </c>
      <c r="B73" s="3">
        <v>0</v>
      </c>
      <c r="C73" s="4">
        <v>64.257000000000005</v>
      </c>
      <c r="D73" s="4">
        <v>14.037000000000001</v>
      </c>
      <c r="E73" s="4">
        <v>662.83939999999996</v>
      </c>
      <c r="F73" s="4">
        <v>138.9442</v>
      </c>
      <c r="G73">
        <f t="shared" si="3"/>
        <v>291.07055555555553</v>
      </c>
      <c r="H73">
        <f t="shared" si="4"/>
        <v>623.61633333333327</v>
      </c>
      <c r="I73">
        <f t="shared" si="5"/>
        <v>-9986349.7066666652</v>
      </c>
    </row>
    <row r="74" spans="1:9" x14ac:dyDescent="0.25">
      <c r="A74" s="2">
        <v>45095.041666666664</v>
      </c>
      <c r="B74" s="3">
        <v>1</v>
      </c>
      <c r="C74" s="4">
        <v>60.270800000000001</v>
      </c>
      <c r="D74" s="4">
        <v>14.0406</v>
      </c>
      <c r="E74" s="4">
        <v>647.44460000000004</v>
      </c>
      <c r="F74" s="4">
        <v>134.74180000000001</v>
      </c>
      <c r="G74">
        <f t="shared" si="3"/>
        <v>288.85599999999999</v>
      </c>
      <c r="H74">
        <f t="shared" si="4"/>
        <v>615.06366666666668</v>
      </c>
      <c r="I74">
        <f t="shared" si="5"/>
        <v>-9796016.2300000004</v>
      </c>
    </row>
    <row r="75" spans="1:9" x14ac:dyDescent="0.25">
      <c r="A75" s="2">
        <v>45095.083333333336</v>
      </c>
      <c r="B75" s="3">
        <v>2</v>
      </c>
      <c r="C75" s="4">
        <v>59.268099999999997</v>
      </c>
      <c r="D75" s="4">
        <v>14.036099999999999</v>
      </c>
      <c r="E75" s="4">
        <v>647.20190000000002</v>
      </c>
      <c r="F75" s="4">
        <v>135.5145</v>
      </c>
      <c r="G75">
        <f t="shared" si="3"/>
        <v>288.29894444444443</v>
      </c>
      <c r="H75">
        <f t="shared" si="4"/>
        <v>614.92883333333339</v>
      </c>
      <c r="I75">
        <f t="shared" si="5"/>
        <v>-9808695.5633333363</v>
      </c>
    </row>
    <row r="76" spans="1:9" x14ac:dyDescent="0.25">
      <c r="A76" s="2">
        <v>45095.125</v>
      </c>
      <c r="B76" s="3">
        <v>3</v>
      </c>
      <c r="C76" s="4">
        <v>58.571300000000001</v>
      </c>
      <c r="D76" s="4">
        <v>14.0344</v>
      </c>
      <c r="E76" s="4">
        <v>644.54499999999996</v>
      </c>
      <c r="F76" s="4">
        <v>134.78980000000001</v>
      </c>
      <c r="G76">
        <f t="shared" si="3"/>
        <v>287.91183333333333</v>
      </c>
      <c r="H76">
        <f t="shared" si="4"/>
        <v>613.45277777777778</v>
      </c>
      <c r="I76">
        <f t="shared" si="5"/>
        <v>-9775994.5616666675</v>
      </c>
    </row>
    <row r="77" spans="1:9" x14ac:dyDescent="0.25">
      <c r="A77" s="2">
        <v>45095.166666666664</v>
      </c>
      <c r="B77" s="3">
        <v>4</v>
      </c>
      <c r="C77" s="4">
        <v>57.7896</v>
      </c>
      <c r="D77" s="4">
        <v>14.037800000000001</v>
      </c>
      <c r="E77" s="4">
        <v>642.29319999999996</v>
      </c>
      <c r="F77" s="4">
        <v>134.26509999999999</v>
      </c>
      <c r="G77">
        <f t="shared" si="3"/>
        <v>287.47755555555551</v>
      </c>
      <c r="H77">
        <f t="shared" si="4"/>
        <v>612.20177777777781</v>
      </c>
      <c r="I77">
        <f t="shared" si="5"/>
        <v>-9751468.3933333363</v>
      </c>
    </row>
    <row r="78" spans="1:9" x14ac:dyDescent="0.25">
      <c r="A78" s="2">
        <v>45095.208333333336</v>
      </c>
      <c r="B78" s="3">
        <v>5</v>
      </c>
      <c r="C78" s="4">
        <v>58.157200000000003</v>
      </c>
      <c r="D78" s="4">
        <v>14.039300000000001</v>
      </c>
      <c r="E78" s="4">
        <v>642.53129999999999</v>
      </c>
      <c r="F78" s="4">
        <v>134.01660000000001</v>
      </c>
      <c r="G78">
        <f t="shared" si="3"/>
        <v>287.68177777777777</v>
      </c>
      <c r="H78">
        <f t="shared" si="4"/>
        <v>612.33405555555555</v>
      </c>
      <c r="I78">
        <f t="shared" si="5"/>
        <v>-9749307.9016666673</v>
      </c>
    </row>
    <row r="79" spans="1:9" x14ac:dyDescent="0.25">
      <c r="A79" s="2">
        <v>45095.25</v>
      </c>
      <c r="B79" s="3">
        <v>6</v>
      </c>
      <c r="C79" s="4">
        <v>57.016500000000001</v>
      </c>
      <c r="D79" s="4">
        <v>14.034700000000001</v>
      </c>
      <c r="E79" s="4">
        <v>643.88260000000002</v>
      </c>
      <c r="F79" s="4">
        <v>136.006</v>
      </c>
      <c r="G79">
        <f t="shared" si="3"/>
        <v>287.04805555555555</v>
      </c>
      <c r="H79">
        <f t="shared" si="4"/>
        <v>613.08477777777784</v>
      </c>
      <c r="I79">
        <f t="shared" si="5"/>
        <v>-9790882.7683333363</v>
      </c>
    </row>
    <row r="80" spans="1:9" x14ac:dyDescent="0.25">
      <c r="A80" s="2">
        <v>45095.291666666664</v>
      </c>
      <c r="B80" s="3">
        <v>7</v>
      </c>
      <c r="C80" s="4">
        <v>56.438499999999998</v>
      </c>
      <c r="D80" s="4">
        <v>14.037800000000001</v>
      </c>
      <c r="E80" s="4">
        <v>643.95060000000001</v>
      </c>
      <c r="F80" s="4">
        <v>136.73159999999999</v>
      </c>
      <c r="G80">
        <f t="shared" si="3"/>
        <v>286.72694444444443</v>
      </c>
      <c r="H80">
        <f t="shared" si="4"/>
        <v>613.12255555555555</v>
      </c>
      <c r="I80">
        <f t="shared" si="5"/>
        <v>-9801660.2016666662</v>
      </c>
    </row>
    <row r="81" spans="1:9" x14ac:dyDescent="0.25">
      <c r="A81" s="2">
        <v>45095.333333333336</v>
      </c>
      <c r="B81" s="3">
        <v>8</v>
      </c>
      <c r="C81" s="4">
        <v>58.564700000000002</v>
      </c>
      <c r="D81" s="4">
        <v>14.073399999999999</v>
      </c>
      <c r="E81" s="4">
        <v>653.26779999999997</v>
      </c>
      <c r="F81" s="4">
        <v>139.85249999999999</v>
      </c>
      <c r="G81">
        <f t="shared" si="3"/>
        <v>287.90816666666666</v>
      </c>
      <c r="H81">
        <f t="shared" si="4"/>
        <v>618.29877777777779</v>
      </c>
      <c r="I81">
        <f t="shared" si="5"/>
        <v>-9921630.0516666677</v>
      </c>
    </row>
    <row r="82" spans="1:9" x14ac:dyDescent="0.25">
      <c r="A82" s="2">
        <v>45095.375</v>
      </c>
      <c r="B82" s="3">
        <v>9</v>
      </c>
      <c r="C82" s="4">
        <v>61.3613</v>
      </c>
      <c r="D82" s="4">
        <v>14.091200000000001</v>
      </c>
      <c r="E82" s="4">
        <v>662.53489999999999</v>
      </c>
      <c r="F82" s="4">
        <v>141.905</v>
      </c>
      <c r="G82">
        <f t="shared" si="3"/>
        <v>289.46183333333329</v>
      </c>
      <c r="H82">
        <f t="shared" si="4"/>
        <v>623.44716666666659</v>
      </c>
      <c r="I82">
        <f t="shared" si="5"/>
        <v>-10029579.559999999</v>
      </c>
    </row>
    <row r="83" spans="1:9" x14ac:dyDescent="0.25">
      <c r="A83" s="2">
        <v>45095.416666666664</v>
      </c>
      <c r="B83" s="3">
        <v>10</v>
      </c>
      <c r="C83" s="4">
        <v>64.780900000000003</v>
      </c>
      <c r="D83" s="4">
        <v>14.0741</v>
      </c>
      <c r="E83" s="4">
        <v>677.49030000000005</v>
      </c>
      <c r="F83" s="4">
        <v>145.68440000000001</v>
      </c>
      <c r="G83">
        <f t="shared" si="3"/>
        <v>291.36161111111107</v>
      </c>
      <c r="H83">
        <f t="shared" si="4"/>
        <v>631.75572222222218</v>
      </c>
      <c r="I83">
        <f t="shared" si="5"/>
        <v>-10222035.156666666</v>
      </c>
    </row>
    <row r="84" spans="1:9" x14ac:dyDescent="0.25">
      <c r="A84" s="2">
        <v>45095.458333333336</v>
      </c>
      <c r="B84" s="3">
        <v>11</v>
      </c>
      <c r="C84" s="4">
        <v>68.921800000000005</v>
      </c>
      <c r="D84" s="4">
        <v>14.062200000000001</v>
      </c>
      <c r="E84" s="4">
        <v>702.42150000000004</v>
      </c>
      <c r="F84" s="4">
        <v>151.54220000000001</v>
      </c>
      <c r="G84">
        <f t="shared" si="3"/>
        <v>293.66211111111107</v>
      </c>
      <c r="H84">
        <f t="shared" si="4"/>
        <v>645.60638888888889</v>
      </c>
      <c r="I84">
        <f t="shared" si="5"/>
        <v>-10568886.661666667</v>
      </c>
    </row>
    <row r="85" spans="1:9" x14ac:dyDescent="0.25">
      <c r="A85" s="2">
        <v>45095.5</v>
      </c>
      <c r="B85" s="3">
        <v>12</v>
      </c>
      <c r="C85" s="4">
        <v>73.357799999999997</v>
      </c>
      <c r="D85" s="4">
        <v>14.0632</v>
      </c>
      <c r="E85" s="4">
        <v>708.82389999999998</v>
      </c>
      <c r="F85" s="4">
        <v>150.7004</v>
      </c>
      <c r="G85">
        <f t="shared" si="3"/>
        <v>296.12655555555551</v>
      </c>
      <c r="H85">
        <f t="shared" si="4"/>
        <v>649.16327777777769</v>
      </c>
      <c r="I85">
        <f t="shared" si="5"/>
        <v>-10601692.768333333</v>
      </c>
    </row>
    <row r="86" spans="1:9" x14ac:dyDescent="0.25">
      <c r="A86" s="2">
        <v>45095.541666666664</v>
      </c>
      <c r="B86" s="3">
        <v>13</v>
      </c>
      <c r="C86" s="4">
        <v>75.907399999999996</v>
      </c>
      <c r="D86" s="4">
        <v>14.047499999999999</v>
      </c>
      <c r="E86" s="4">
        <v>712.53240000000005</v>
      </c>
      <c r="F86" s="4">
        <v>149.9153</v>
      </c>
      <c r="G86">
        <f t="shared" si="3"/>
        <v>297.54299999999995</v>
      </c>
      <c r="H86">
        <f t="shared" si="4"/>
        <v>651.22355555555555</v>
      </c>
      <c r="I86">
        <f t="shared" si="5"/>
        <v>-10621027.083333334</v>
      </c>
    </row>
    <row r="87" spans="1:9" x14ac:dyDescent="0.25">
      <c r="A87" s="2">
        <v>45095.583333333336</v>
      </c>
      <c r="B87" s="3">
        <v>14</v>
      </c>
      <c r="C87" s="4">
        <v>78.001099999999994</v>
      </c>
      <c r="D87" s="4">
        <v>14.0373</v>
      </c>
      <c r="E87" s="4">
        <v>715.00909999999999</v>
      </c>
      <c r="F87" s="4">
        <v>149.137</v>
      </c>
      <c r="G87">
        <f t="shared" si="3"/>
        <v>298.70616666666666</v>
      </c>
      <c r="H87">
        <f t="shared" si="4"/>
        <v>652.59950000000003</v>
      </c>
      <c r="I87">
        <f t="shared" si="5"/>
        <v>-10627416.800000001</v>
      </c>
    </row>
    <row r="88" spans="1:9" x14ac:dyDescent="0.25">
      <c r="A88" s="2">
        <v>45095.625</v>
      </c>
      <c r="B88" s="3">
        <v>15</v>
      </c>
      <c r="C88" s="4">
        <v>79.510999999999996</v>
      </c>
      <c r="D88" s="4">
        <v>14.0327</v>
      </c>
      <c r="E88" s="4">
        <v>716.3981</v>
      </c>
      <c r="F88" s="4">
        <v>148.6063</v>
      </c>
      <c r="G88">
        <f t="shared" si="3"/>
        <v>299.54499999999996</v>
      </c>
      <c r="H88">
        <f t="shared" si="4"/>
        <v>653.37116666666668</v>
      </c>
      <c r="I88">
        <f t="shared" si="5"/>
        <v>-10625399.785000002</v>
      </c>
    </row>
    <row r="89" spans="1:9" x14ac:dyDescent="0.25">
      <c r="A89" s="2">
        <v>45095.666666666664</v>
      </c>
      <c r="B89" s="3">
        <v>16</v>
      </c>
      <c r="C89" s="4">
        <v>80.445599999999999</v>
      </c>
      <c r="D89" s="4">
        <v>14.0229</v>
      </c>
      <c r="E89" s="4">
        <v>718.24829999999997</v>
      </c>
      <c r="F89" s="4">
        <v>148.1816</v>
      </c>
      <c r="G89">
        <f t="shared" si="3"/>
        <v>300.06422222222221</v>
      </c>
      <c r="H89">
        <f t="shared" si="4"/>
        <v>654.39905555555561</v>
      </c>
      <c r="I89">
        <f t="shared" si="5"/>
        <v>-10640675.045000002</v>
      </c>
    </row>
    <row r="90" spans="1:9" x14ac:dyDescent="0.25">
      <c r="A90" s="2">
        <v>45095.708333333336</v>
      </c>
      <c r="B90" s="3">
        <v>17</v>
      </c>
      <c r="C90" s="4">
        <v>80.260999999999996</v>
      </c>
      <c r="D90" s="4">
        <v>14.0227</v>
      </c>
      <c r="E90" s="4">
        <v>717.84469999999999</v>
      </c>
      <c r="F90" s="4">
        <v>148.2739</v>
      </c>
      <c r="G90">
        <f t="shared" si="3"/>
        <v>299.96166666666664</v>
      </c>
      <c r="H90">
        <f t="shared" si="4"/>
        <v>654.17483333333325</v>
      </c>
      <c r="I90">
        <f t="shared" si="5"/>
        <v>-10637021.394999998</v>
      </c>
    </row>
    <row r="91" spans="1:9" x14ac:dyDescent="0.25">
      <c r="A91" s="2">
        <v>45095.75</v>
      </c>
      <c r="B91" s="3">
        <v>18</v>
      </c>
      <c r="C91" s="4">
        <v>80.266400000000004</v>
      </c>
      <c r="D91" s="4">
        <v>14.022399999999999</v>
      </c>
      <c r="E91" s="4">
        <v>718.24680000000001</v>
      </c>
      <c r="F91" s="4">
        <v>148.24109999999999</v>
      </c>
      <c r="G91">
        <f t="shared" si="3"/>
        <v>299.96466666666663</v>
      </c>
      <c r="H91">
        <f t="shared" si="4"/>
        <v>654.39822222222222</v>
      </c>
      <c r="I91">
        <f t="shared" si="5"/>
        <v>-10643639.673333334</v>
      </c>
    </row>
    <row r="92" spans="1:9" x14ac:dyDescent="0.25">
      <c r="A92" s="2">
        <v>45095.791666666664</v>
      </c>
      <c r="B92" s="3">
        <v>19</v>
      </c>
      <c r="C92" s="4">
        <v>79.268100000000004</v>
      </c>
      <c r="D92" s="4">
        <v>14.025700000000001</v>
      </c>
      <c r="E92" s="4">
        <v>715.95630000000006</v>
      </c>
      <c r="F92" s="4">
        <v>148.56909999999999</v>
      </c>
      <c r="G92">
        <f t="shared" si="3"/>
        <v>299.41005555555552</v>
      </c>
      <c r="H92">
        <f t="shared" si="4"/>
        <v>653.12572222222229</v>
      </c>
      <c r="I92">
        <f t="shared" si="5"/>
        <v>-10622081.470000003</v>
      </c>
    </row>
    <row r="93" spans="1:9" x14ac:dyDescent="0.25">
      <c r="A93" s="2">
        <v>45095.833333333336</v>
      </c>
      <c r="B93" s="3">
        <v>20</v>
      </c>
      <c r="C93" s="4">
        <v>77.869399999999999</v>
      </c>
      <c r="D93" s="4">
        <v>14.024100000000001</v>
      </c>
      <c r="E93" s="4">
        <v>714.58849999999995</v>
      </c>
      <c r="F93" s="4">
        <v>149.09809999999999</v>
      </c>
      <c r="G93">
        <f t="shared" si="3"/>
        <v>298.63299999999998</v>
      </c>
      <c r="H93">
        <f t="shared" si="4"/>
        <v>652.36583333333328</v>
      </c>
      <c r="I93">
        <f t="shared" si="5"/>
        <v>-10622596.984999999</v>
      </c>
    </row>
    <row r="94" spans="1:9" x14ac:dyDescent="0.25">
      <c r="A94" s="2">
        <v>45095.875</v>
      </c>
      <c r="B94" s="3">
        <v>21</v>
      </c>
      <c r="C94" s="4">
        <v>74.984700000000004</v>
      </c>
      <c r="D94" s="4">
        <v>14.0215</v>
      </c>
      <c r="E94" s="4">
        <v>710.81050000000005</v>
      </c>
      <c r="F94" s="4">
        <v>150.0515</v>
      </c>
      <c r="G94">
        <f t="shared" si="3"/>
        <v>297.03038888888887</v>
      </c>
      <c r="H94">
        <f t="shared" si="4"/>
        <v>650.26694444444445</v>
      </c>
      <c r="I94">
        <f t="shared" si="5"/>
        <v>-10607693.763333334</v>
      </c>
    </row>
    <row r="95" spans="1:9" x14ac:dyDescent="0.25">
      <c r="A95" s="2">
        <v>45095.916666666664</v>
      </c>
      <c r="B95" s="3">
        <v>22</v>
      </c>
      <c r="C95" s="4">
        <v>71.671899999999994</v>
      </c>
      <c r="D95" s="4">
        <v>14.026</v>
      </c>
      <c r="E95" s="4">
        <v>706.04079999999999</v>
      </c>
      <c r="F95" s="4">
        <v>151.1645</v>
      </c>
      <c r="G95">
        <f t="shared" si="3"/>
        <v>295.18994444444439</v>
      </c>
      <c r="H95">
        <f t="shared" si="4"/>
        <v>647.61711111111117</v>
      </c>
      <c r="I95">
        <f t="shared" si="5"/>
        <v>-10583387.815000003</v>
      </c>
    </row>
    <row r="96" spans="1:9" x14ac:dyDescent="0.25">
      <c r="A96" s="9">
        <v>45095.958333333336</v>
      </c>
      <c r="B96" s="10">
        <v>23</v>
      </c>
      <c r="C96" s="11">
        <v>68.247900000000001</v>
      </c>
      <c r="D96" s="11">
        <v>14.065</v>
      </c>
      <c r="E96" s="11">
        <v>701.85199999999998</v>
      </c>
      <c r="F96" s="11">
        <v>152.3707</v>
      </c>
      <c r="G96" s="12">
        <f t="shared" si="3"/>
        <v>293.28772222222221</v>
      </c>
      <c r="H96" s="12">
        <f t="shared" si="4"/>
        <v>645.29</v>
      </c>
      <c r="I96" s="12">
        <f t="shared" si="5"/>
        <v>-10570628.401666665</v>
      </c>
    </row>
    <row r="97" spans="1:9" x14ac:dyDescent="0.25">
      <c r="A97" s="2">
        <v>45096</v>
      </c>
      <c r="B97" s="3">
        <v>0</v>
      </c>
      <c r="C97" s="4">
        <v>66.690799999999996</v>
      </c>
      <c r="D97" s="4">
        <v>14.083399999999999</v>
      </c>
      <c r="E97" s="4">
        <v>699.98739999999998</v>
      </c>
      <c r="F97" s="4">
        <v>152.95070000000001</v>
      </c>
      <c r="G97">
        <f t="shared" si="3"/>
        <v>292.42266666666666</v>
      </c>
      <c r="H97">
        <f t="shared" si="4"/>
        <v>644.25411111111111</v>
      </c>
      <c r="I97">
        <f t="shared" si="5"/>
        <v>-10565498.276666667</v>
      </c>
    </row>
    <row r="98" spans="1:9" x14ac:dyDescent="0.25">
      <c r="A98" s="2">
        <v>45096.041666666664</v>
      </c>
      <c r="B98" s="3">
        <v>1</v>
      </c>
      <c r="C98" s="4">
        <v>65.572500000000005</v>
      </c>
      <c r="D98" s="4">
        <v>14.096399999999999</v>
      </c>
      <c r="E98" s="4">
        <v>694.10119999999995</v>
      </c>
      <c r="F98" s="4">
        <v>151.6497</v>
      </c>
      <c r="G98">
        <f t="shared" si="3"/>
        <v>291.80138888888888</v>
      </c>
      <c r="H98">
        <f t="shared" si="4"/>
        <v>640.98399999999992</v>
      </c>
      <c r="I98">
        <f t="shared" si="5"/>
        <v>-10485953.811666664</v>
      </c>
    </row>
    <row r="99" spans="1:9" x14ac:dyDescent="0.25">
      <c r="A99" s="2">
        <v>45096.083333333336</v>
      </c>
      <c r="B99" s="3">
        <v>2</v>
      </c>
      <c r="C99" s="4">
        <v>63.609900000000003</v>
      </c>
      <c r="D99" s="4">
        <v>14.103</v>
      </c>
      <c r="E99" s="4">
        <v>662.50459999999998</v>
      </c>
      <c r="F99" s="4">
        <v>139.93170000000001</v>
      </c>
      <c r="G99">
        <f t="shared" si="3"/>
        <v>290.71105555555556</v>
      </c>
      <c r="H99">
        <f t="shared" si="4"/>
        <v>623.43033333333324</v>
      </c>
      <c r="I99">
        <f t="shared" si="5"/>
        <v>-9991559.9116666634</v>
      </c>
    </row>
    <row r="100" spans="1:9" x14ac:dyDescent="0.25">
      <c r="A100" s="2">
        <v>45096.125</v>
      </c>
      <c r="B100" s="3">
        <v>3</v>
      </c>
      <c r="C100" s="4">
        <v>61.487699999999997</v>
      </c>
      <c r="D100" s="4">
        <v>14.102600000000001</v>
      </c>
      <c r="E100" s="4">
        <v>653.89359999999999</v>
      </c>
      <c r="F100" s="4">
        <v>137.56059999999999</v>
      </c>
      <c r="G100">
        <f t="shared" si="3"/>
        <v>289.53205555555553</v>
      </c>
      <c r="H100">
        <f t="shared" si="4"/>
        <v>618.64644444444446</v>
      </c>
      <c r="I100">
        <f t="shared" si="5"/>
        <v>-9883305.0983333346</v>
      </c>
    </row>
    <row r="101" spans="1:9" x14ac:dyDescent="0.25">
      <c r="A101" s="2">
        <v>45096.166666666664</v>
      </c>
      <c r="B101" s="3">
        <v>4</v>
      </c>
      <c r="C101" s="4">
        <v>60.673299999999998</v>
      </c>
      <c r="D101" s="4">
        <v>14.098800000000001</v>
      </c>
      <c r="E101" s="4">
        <v>650.54319999999996</v>
      </c>
      <c r="F101" s="4">
        <v>136.47450000000001</v>
      </c>
      <c r="G101">
        <f t="shared" si="3"/>
        <v>289.07961111111109</v>
      </c>
      <c r="H101">
        <f t="shared" si="4"/>
        <v>616.78511111111106</v>
      </c>
      <c r="I101">
        <f t="shared" si="5"/>
        <v>-9840996.1649999991</v>
      </c>
    </row>
    <row r="102" spans="1:9" x14ac:dyDescent="0.25">
      <c r="A102" s="2">
        <v>45096.208333333336</v>
      </c>
      <c r="B102" s="3">
        <v>5</v>
      </c>
      <c r="C102" s="4">
        <v>59.685099999999998</v>
      </c>
      <c r="D102" s="4">
        <v>14.101900000000001</v>
      </c>
      <c r="E102" s="4">
        <v>647.29639999999995</v>
      </c>
      <c r="F102" s="4">
        <v>135.80170000000001</v>
      </c>
      <c r="G102">
        <f t="shared" si="3"/>
        <v>288.53061111111111</v>
      </c>
      <c r="H102">
        <f t="shared" si="4"/>
        <v>614.98133333333328</v>
      </c>
      <c r="I102">
        <f t="shared" si="5"/>
        <v>-9803315.1883333325</v>
      </c>
    </row>
    <row r="103" spans="1:9" x14ac:dyDescent="0.25">
      <c r="A103" s="2">
        <v>45096.25</v>
      </c>
      <c r="B103" s="3">
        <v>6</v>
      </c>
      <c r="C103" s="4">
        <v>58.771700000000003</v>
      </c>
      <c r="D103" s="4">
        <v>14.102399999999999</v>
      </c>
      <c r="E103" s="4">
        <v>647.79470000000003</v>
      </c>
      <c r="F103" s="4">
        <v>136.93809999999999</v>
      </c>
      <c r="G103">
        <f t="shared" si="3"/>
        <v>288.02316666666667</v>
      </c>
      <c r="H103">
        <f t="shared" si="4"/>
        <v>615.25816666666674</v>
      </c>
      <c r="I103">
        <f t="shared" si="5"/>
        <v>-9826867.0500000026</v>
      </c>
    </row>
    <row r="104" spans="1:9" x14ac:dyDescent="0.25">
      <c r="A104" s="2">
        <v>45096.291666666664</v>
      </c>
      <c r="B104" s="3">
        <v>7</v>
      </c>
      <c r="C104" s="4">
        <v>59.155999999999999</v>
      </c>
      <c r="D104" s="4">
        <v>14.103400000000001</v>
      </c>
      <c r="E104" s="4">
        <v>650.8691</v>
      </c>
      <c r="F104" s="4">
        <v>138.40610000000001</v>
      </c>
      <c r="G104">
        <f t="shared" si="3"/>
        <v>288.23666666666662</v>
      </c>
      <c r="H104">
        <f t="shared" si="4"/>
        <v>616.9661666666666</v>
      </c>
      <c r="I104">
        <f t="shared" si="5"/>
        <v>-9871746.8849999998</v>
      </c>
    </row>
    <row r="105" spans="1:9" x14ac:dyDescent="0.25">
      <c r="A105" s="2">
        <v>45096.333333333336</v>
      </c>
      <c r="B105" s="3">
        <v>8</v>
      </c>
      <c r="C105" s="4">
        <v>60.417200000000001</v>
      </c>
      <c r="D105" s="4">
        <v>14.103400000000001</v>
      </c>
      <c r="E105" s="4">
        <v>664.66639999999995</v>
      </c>
      <c r="F105" s="4">
        <v>144.38990000000001</v>
      </c>
      <c r="G105">
        <f t="shared" si="3"/>
        <v>288.9373333333333</v>
      </c>
      <c r="H105">
        <f t="shared" si="4"/>
        <v>624.63133333333326</v>
      </c>
      <c r="I105">
        <f t="shared" si="5"/>
        <v>-10080890.819999998</v>
      </c>
    </row>
    <row r="106" spans="1:9" x14ac:dyDescent="0.25">
      <c r="A106" s="2">
        <v>45096.375</v>
      </c>
      <c r="B106" s="3">
        <v>9</v>
      </c>
      <c r="C106" s="4">
        <v>63.344000000000001</v>
      </c>
      <c r="D106" s="4">
        <v>14.097</v>
      </c>
      <c r="E106" s="4">
        <v>690.23170000000005</v>
      </c>
      <c r="F106" s="4">
        <v>152.4135</v>
      </c>
      <c r="G106">
        <f t="shared" si="3"/>
        <v>290.56333333333333</v>
      </c>
      <c r="H106">
        <f t="shared" si="4"/>
        <v>638.83427777777774</v>
      </c>
      <c r="I106">
        <f t="shared" si="5"/>
        <v>-10458576.461666666</v>
      </c>
    </row>
    <row r="107" spans="1:9" x14ac:dyDescent="0.25">
      <c r="A107" s="2">
        <v>45096.416666666664</v>
      </c>
      <c r="B107" s="3">
        <v>10</v>
      </c>
      <c r="C107" s="4">
        <v>67.627499999999998</v>
      </c>
      <c r="D107" s="4">
        <v>14.098699999999999</v>
      </c>
      <c r="E107" s="4">
        <v>700.46500000000003</v>
      </c>
      <c r="F107" s="4">
        <v>152.8415</v>
      </c>
      <c r="G107">
        <f t="shared" si="3"/>
        <v>292.94305555555553</v>
      </c>
      <c r="H107">
        <f t="shared" si="4"/>
        <v>644.51944444444439</v>
      </c>
      <c r="I107">
        <f t="shared" si="5"/>
        <v>-10557838.958333332</v>
      </c>
    </row>
    <row r="108" spans="1:9" x14ac:dyDescent="0.25">
      <c r="A108" s="2">
        <v>45096.458333333336</v>
      </c>
      <c r="B108" s="3">
        <v>11</v>
      </c>
      <c r="C108" s="4">
        <v>68.5</v>
      </c>
      <c r="D108" s="4">
        <v>14.103400000000001</v>
      </c>
      <c r="E108" s="4">
        <v>701.5</v>
      </c>
      <c r="F108" s="4">
        <v>152.73349999999999</v>
      </c>
      <c r="G108">
        <f t="shared" si="3"/>
        <v>293.42777777777775</v>
      </c>
      <c r="H108">
        <f t="shared" si="4"/>
        <v>645.09444444444443</v>
      </c>
      <c r="I108">
        <f t="shared" si="5"/>
        <v>-10560550</v>
      </c>
    </row>
    <row r="109" spans="1:9" x14ac:dyDescent="0.25">
      <c r="A109" s="2">
        <v>45096.5</v>
      </c>
      <c r="B109" s="3">
        <v>12</v>
      </c>
      <c r="C109" s="4">
        <v>68.5</v>
      </c>
      <c r="D109" s="4">
        <v>14.103400000000001</v>
      </c>
      <c r="E109" s="4">
        <v>701.5</v>
      </c>
      <c r="F109" s="4">
        <v>152.73349999999999</v>
      </c>
      <c r="G109">
        <f t="shared" si="3"/>
        <v>293.42777777777775</v>
      </c>
      <c r="H109">
        <f t="shared" si="4"/>
        <v>645.09444444444443</v>
      </c>
      <c r="I109">
        <f t="shared" si="5"/>
        <v>-10560550</v>
      </c>
    </row>
    <row r="110" spans="1:9" x14ac:dyDescent="0.25">
      <c r="A110" s="2">
        <v>45096.541666666664</v>
      </c>
      <c r="B110" s="3">
        <v>13</v>
      </c>
      <c r="C110" s="4">
        <v>68.5</v>
      </c>
      <c r="D110" s="4">
        <v>14.103400000000001</v>
      </c>
      <c r="E110" s="4">
        <v>701.5</v>
      </c>
      <c r="F110" s="4">
        <v>152.73349999999999</v>
      </c>
      <c r="G110">
        <f t="shared" si="3"/>
        <v>293.42777777777775</v>
      </c>
      <c r="H110">
        <f t="shared" si="4"/>
        <v>645.09444444444443</v>
      </c>
      <c r="I110">
        <f t="shared" si="5"/>
        <v>-10560550</v>
      </c>
    </row>
    <row r="111" spans="1:9" x14ac:dyDescent="0.25">
      <c r="A111" s="2">
        <v>45096.583333333336</v>
      </c>
      <c r="B111" s="3">
        <v>14</v>
      </c>
      <c r="C111" s="4">
        <v>68.5</v>
      </c>
      <c r="D111" s="4">
        <v>14.103400000000001</v>
      </c>
      <c r="E111" s="4">
        <v>701.5</v>
      </c>
      <c r="F111" s="4">
        <v>152.73349999999999</v>
      </c>
      <c r="G111">
        <f t="shared" si="3"/>
        <v>293.42777777777775</v>
      </c>
      <c r="H111">
        <f t="shared" si="4"/>
        <v>645.09444444444443</v>
      </c>
      <c r="I111">
        <f t="shared" si="5"/>
        <v>-10560550</v>
      </c>
    </row>
    <row r="112" spans="1:9" x14ac:dyDescent="0.25">
      <c r="A112" s="2">
        <v>45096.625</v>
      </c>
      <c r="B112" s="3">
        <v>15</v>
      </c>
      <c r="C112" s="4">
        <v>68.5</v>
      </c>
      <c r="D112" s="4">
        <v>14.103400000000001</v>
      </c>
      <c r="E112" s="4">
        <v>701.5</v>
      </c>
      <c r="F112" s="4">
        <v>152.73349999999999</v>
      </c>
      <c r="G112">
        <f t="shared" si="3"/>
        <v>293.42777777777775</v>
      </c>
      <c r="H112">
        <f t="shared" si="4"/>
        <v>645.09444444444443</v>
      </c>
      <c r="I112">
        <f t="shared" si="5"/>
        <v>-10560550</v>
      </c>
    </row>
    <row r="113" spans="1:9" x14ac:dyDescent="0.25">
      <c r="A113" s="2">
        <v>45096.666666666664</v>
      </c>
      <c r="B113" s="3">
        <v>16</v>
      </c>
      <c r="C113" s="4">
        <v>68.5</v>
      </c>
      <c r="D113" s="4">
        <v>14.103400000000001</v>
      </c>
      <c r="E113" s="4">
        <v>701.5</v>
      </c>
      <c r="F113" s="4">
        <v>152.73349999999999</v>
      </c>
      <c r="G113">
        <f t="shared" si="3"/>
        <v>293.42777777777775</v>
      </c>
      <c r="H113">
        <f t="shared" si="4"/>
        <v>645.09444444444443</v>
      </c>
      <c r="I113">
        <f t="shared" si="5"/>
        <v>-10560550</v>
      </c>
    </row>
    <row r="114" spans="1:9" x14ac:dyDescent="0.25">
      <c r="A114" s="2">
        <v>45096.708333333336</v>
      </c>
      <c r="B114" s="3">
        <v>17</v>
      </c>
      <c r="C114" s="4">
        <v>68.5</v>
      </c>
      <c r="D114" s="4">
        <v>14.103400000000001</v>
      </c>
      <c r="E114" s="4">
        <v>701.5</v>
      </c>
      <c r="F114" s="4">
        <v>152.73349999999999</v>
      </c>
      <c r="G114">
        <f t="shared" si="3"/>
        <v>293.42777777777775</v>
      </c>
      <c r="H114">
        <f t="shared" si="4"/>
        <v>645.09444444444443</v>
      </c>
      <c r="I114">
        <f t="shared" si="5"/>
        <v>-10560550</v>
      </c>
    </row>
    <row r="115" spans="1:9" x14ac:dyDescent="0.25">
      <c r="A115" s="2">
        <v>45096.75</v>
      </c>
      <c r="B115" s="3">
        <v>18</v>
      </c>
      <c r="C115" s="4">
        <v>68.5</v>
      </c>
      <c r="D115" s="4">
        <v>14.103400000000001</v>
      </c>
      <c r="E115" s="4">
        <v>701.5</v>
      </c>
      <c r="F115" s="4">
        <v>152.73349999999999</v>
      </c>
      <c r="G115">
        <f t="shared" si="3"/>
        <v>293.42777777777775</v>
      </c>
      <c r="H115">
        <f t="shared" si="4"/>
        <v>645.09444444444443</v>
      </c>
      <c r="I115">
        <f t="shared" si="5"/>
        <v>-10560550</v>
      </c>
    </row>
    <row r="116" spans="1:9" x14ac:dyDescent="0.25">
      <c r="A116" s="2">
        <v>45096.791666666664</v>
      </c>
      <c r="B116" s="3">
        <v>19</v>
      </c>
      <c r="C116" s="4">
        <v>68.5</v>
      </c>
      <c r="D116" s="4">
        <v>14.103400000000001</v>
      </c>
      <c r="E116" s="4">
        <v>701.5</v>
      </c>
      <c r="F116" s="4">
        <v>152.73349999999999</v>
      </c>
      <c r="G116">
        <f t="shared" si="3"/>
        <v>293.42777777777775</v>
      </c>
      <c r="H116">
        <f t="shared" si="4"/>
        <v>645.09444444444443</v>
      </c>
      <c r="I116">
        <f t="shared" si="5"/>
        <v>-10560550</v>
      </c>
    </row>
    <row r="117" spans="1:9" x14ac:dyDescent="0.25">
      <c r="A117" s="2">
        <v>45096.833333333336</v>
      </c>
      <c r="B117" s="3">
        <v>20</v>
      </c>
      <c r="C117" s="4">
        <v>68.5</v>
      </c>
      <c r="D117" s="4">
        <v>14.103400000000001</v>
      </c>
      <c r="E117" s="4">
        <v>701.5</v>
      </c>
      <c r="F117" s="4">
        <v>152.73349999999999</v>
      </c>
      <c r="G117">
        <f t="shared" si="3"/>
        <v>293.42777777777775</v>
      </c>
      <c r="H117">
        <f t="shared" si="4"/>
        <v>645.09444444444443</v>
      </c>
      <c r="I117">
        <f t="shared" si="5"/>
        <v>-10560550</v>
      </c>
    </row>
    <row r="118" spans="1:9" x14ac:dyDescent="0.25">
      <c r="A118" s="2">
        <v>45096.875</v>
      </c>
      <c r="B118" s="3">
        <v>21</v>
      </c>
      <c r="C118" s="4">
        <v>68.5</v>
      </c>
      <c r="D118" s="4">
        <v>14.103400000000001</v>
      </c>
      <c r="E118" s="4">
        <v>701.5</v>
      </c>
      <c r="F118" s="4">
        <v>152.73349999999999</v>
      </c>
      <c r="G118">
        <f t="shared" si="3"/>
        <v>293.42777777777775</v>
      </c>
      <c r="H118">
        <f t="shared" si="4"/>
        <v>645.09444444444443</v>
      </c>
      <c r="I118">
        <f t="shared" si="5"/>
        <v>-10560550</v>
      </c>
    </row>
    <row r="119" spans="1:9" x14ac:dyDescent="0.25">
      <c r="A119" s="2">
        <v>45096.916666666664</v>
      </c>
      <c r="B119" s="3">
        <v>22</v>
      </c>
      <c r="C119" s="4">
        <v>68.5</v>
      </c>
      <c r="D119" s="4">
        <v>14.103400000000001</v>
      </c>
      <c r="E119" s="4">
        <v>701.5</v>
      </c>
      <c r="F119" s="4">
        <v>152.73349999999999</v>
      </c>
      <c r="G119">
        <f t="shared" si="3"/>
        <v>293.42777777777775</v>
      </c>
      <c r="H119">
        <f t="shared" si="4"/>
        <v>645.09444444444443</v>
      </c>
      <c r="I119">
        <f t="shared" si="5"/>
        <v>-10560550</v>
      </c>
    </row>
    <row r="120" spans="1:9" x14ac:dyDescent="0.25">
      <c r="A120" s="9">
        <v>45096.958333333336</v>
      </c>
      <c r="B120" s="10">
        <v>23</v>
      </c>
      <c r="C120" s="11">
        <v>68.5</v>
      </c>
      <c r="D120" s="11">
        <v>14.103400000000001</v>
      </c>
      <c r="E120" s="11">
        <v>701.5</v>
      </c>
      <c r="F120" s="11">
        <v>152.73349999999999</v>
      </c>
      <c r="G120" s="12">
        <f t="shared" si="3"/>
        <v>293.42777777777775</v>
      </c>
      <c r="H120" s="12">
        <f t="shared" si="4"/>
        <v>645.09444444444443</v>
      </c>
      <c r="I120" s="12">
        <f t="shared" si="5"/>
        <v>-10560550</v>
      </c>
    </row>
    <row r="121" spans="1:9" x14ac:dyDescent="0.25">
      <c r="A121" s="2"/>
      <c r="B121" s="3"/>
      <c r="C121" s="4"/>
      <c r="D121" s="4"/>
      <c r="E121" s="4"/>
      <c r="F121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customHeight="1" x14ac:dyDescent="0.25"/>
  <cols>
    <col min="1" max="1" width="47.7109375" bestFit="1" customWidth="1"/>
    <col min="2" max="8" width="17.7109375" customWidth="1"/>
  </cols>
  <sheetData>
    <row r="1" spans="1:8" ht="18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25">
      <c r="A2" s="6" t="s">
        <v>2</v>
      </c>
      <c r="B2" s="7">
        <v>120</v>
      </c>
      <c r="C2" s="7">
        <v>65.980895833333335</v>
      </c>
      <c r="D2" s="7">
        <v>52.430399999999999</v>
      </c>
      <c r="E2" s="7">
        <v>80.445599999999999</v>
      </c>
      <c r="F2" s="7">
        <v>28.0152</v>
      </c>
      <c r="G2" s="7">
        <v>6.8489792880812468</v>
      </c>
      <c r="H2" s="7">
        <v>7917.7075000000004</v>
      </c>
    </row>
    <row r="3" spans="1:8" x14ac:dyDescent="0.25">
      <c r="A3" s="6" t="s">
        <v>3</v>
      </c>
      <c r="B3" s="7">
        <v>120</v>
      </c>
      <c r="C3" s="7">
        <v>14.02133583333333</v>
      </c>
      <c r="D3" s="7">
        <v>13.920400000000001</v>
      </c>
      <c r="E3" s="7">
        <v>14.103400000000001</v>
      </c>
      <c r="F3" s="7">
        <v>0.18299999999999983</v>
      </c>
      <c r="G3" s="7">
        <v>5.1285704304145342E-2</v>
      </c>
      <c r="H3" s="7">
        <v>1682.5602999999996</v>
      </c>
    </row>
    <row r="4" spans="1:8" x14ac:dyDescent="0.25">
      <c r="A4" s="6" t="s">
        <v>4</v>
      </c>
      <c r="B4" s="7">
        <v>120</v>
      </c>
      <c r="C4" s="7">
        <v>688.18881583333325</v>
      </c>
      <c r="D4" s="7">
        <v>640.50440000000003</v>
      </c>
      <c r="E4" s="7">
        <v>718.24829999999997</v>
      </c>
      <c r="F4" s="7">
        <v>77.74389999999994</v>
      </c>
      <c r="G4" s="7">
        <v>22.641774435163715</v>
      </c>
      <c r="H4" s="7">
        <v>82582.657899999991</v>
      </c>
    </row>
    <row r="5" spans="1:8" x14ac:dyDescent="0.25">
      <c r="A5" s="6" t="s">
        <v>5</v>
      </c>
      <c r="B5" s="7">
        <v>120</v>
      </c>
      <c r="C5" s="7">
        <v>148.0151474999999</v>
      </c>
      <c r="D5" s="7">
        <v>134.01660000000001</v>
      </c>
      <c r="E5" s="7">
        <v>155.66739999999999</v>
      </c>
      <c r="F5" s="7">
        <v>21.650799999999975</v>
      </c>
      <c r="G5" s="7">
        <v>5.9632703941148808</v>
      </c>
      <c r="H5" s="7">
        <v>17761.817699999989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Jacqueline O'Connor</cp:lastModifiedBy>
  <dcterms:created xsi:type="dcterms:W3CDTF">2023-06-23T00:21:22Z</dcterms:created>
  <dcterms:modified xsi:type="dcterms:W3CDTF">2023-07-07T18:39:18Z</dcterms:modified>
</cp:coreProperties>
</file>